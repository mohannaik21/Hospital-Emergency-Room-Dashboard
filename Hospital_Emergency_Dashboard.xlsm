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ml.chartshap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5.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8.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workbookPr defaultThemeVersion="166925"/>
  <mc:AlternateContent xmlns:mc="http://schemas.openxmlformats.org/markup-compatibility/2006">
    <mc:Choice Requires="x15">
      <x15ac:absPath xmlns:x15ac="http://schemas.microsoft.com/office/spreadsheetml/2010/11/ac" url="C:\DATA ANALYST\excel\Projects_final\"/>
    </mc:Choice>
  </mc:AlternateContent>
  <xr:revisionPtr revIDLastSave="0" documentId="13_ncr:1_{2B314259-6384-4BD2-A33A-FF25EFE5FDD0}" xr6:coauthVersionLast="47" xr6:coauthVersionMax="47" xr10:uidLastSave="{00000000-0000-0000-0000-000000000000}"/>
  <bookViews>
    <workbookView xWindow="-108" yWindow="-108" windowWidth="23256" windowHeight="13896" activeTab="1" xr2:uid="{CD48C77F-931A-490D-A959-89936EE88D75}"/>
  </bookViews>
  <sheets>
    <sheet name="Pivot Report" sheetId="1" r:id="rId1"/>
    <sheet name="Dashboard" sheetId="2" r:id="rId2"/>
    <sheet name="Daily ER No. of Patients" sheetId="3" r:id="rId3"/>
    <sheet name="Average wait time daily trend" sheetId="4" r:id="rId4"/>
    <sheet name="Satisfaction score daily trend" sheetId="5" r:id="rId5"/>
  </sheets>
  <definedNames>
    <definedName name="Slicer_Date__Month">#N/A</definedName>
    <definedName name="Slicer_Date__Year">#N/A</definedName>
  </definedNames>
  <calcPr calcId="191029"/>
  <pivotCaches>
    <pivotCache cacheId="0" r:id="rId6"/>
    <pivotCache cacheId="1" r:id="rId7"/>
    <pivotCache cacheId="2" r:id="rId8"/>
    <pivotCache cacheId="3" r:id="rId9"/>
    <pivotCache cacheId="4" r:id="rId10"/>
    <pivotCache cacheId="5" r:id="rId11"/>
    <pivotCache cacheId="6" r:id="rId12"/>
    <pivotCache cacheId="7" r:id="rId13"/>
    <pivotCache cacheId="8" r:id="rId14"/>
    <pivotCache cacheId="9" r:id="rId15"/>
    <pivotCache cacheId="10" r:id="rId16"/>
    <pivotCache cacheId="11" r:id="rId17"/>
    <pivotCache cacheId="12" r:id="rId18"/>
  </pivotCaches>
  <extLst>
    <ext xmlns:x14="http://schemas.microsoft.com/office/spreadsheetml/2009/9/main" uri="{876F7934-8845-4945-9796-88D515C7AA90}">
      <x14:pivotCaches>
        <pivotCache cacheId="13" r:id="rId19"/>
      </x14:pivotCaches>
    </ext>
    <ext xmlns:x14="http://schemas.microsoft.com/office/spreadsheetml/2009/9/main" uri="{BBE1A952-AA13-448e-AADC-164F8A28A991}">
      <x14:slicerCaches>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ospital Emergency Room Data_ad7a43e5-e6bc-4c2a-b485-9e878dfde8fa" name="Hospital Emergency Room Data" connection="Query - Hospital Emergency Room Data"/>
          <x15:modelTable id="Calender_Type_10733ff0-8c08-49c9-8fbf-abcff6fd2bc6" name="Calender_Type" connection="Query - Calender_Type"/>
        </x15:modelTables>
        <x15:modelRelationships>
          <x15:modelRelationship fromTable="Hospital Emergency Room Data" fromColumn="Patient Admission Date" toTable="Calender_Type" toColumn="Date"/>
        </x15:modelRelationships>
        <x15:extLst>
          <ext xmlns:x16="http://schemas.microsoft.com/office/spreadsheetml/2014/11/main" uri="{9835A34E-60A6-4A7C-AAB8-D5F71C897F49}">
            <x16:modelTimeGroupings>
              <x16:modelTimeGrouping tableName="Calender_Type"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calculatedTimeColumn columnName="Date (Day Index)" columnId="Date (Day Index)" contentType="daysindex" isSelected="0"/>
                <x16:calculatedTimeColumn columnName="Date (Day)" columnId="Date (Day)" contentType="days" isSelected="0"/>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52" i="1" l="1"/>
  <c r="A51" i="1"/>
  <c r="B51" i="1"/>
  <c r="C51" i="1"/>
  <c r="B52" i="1"/>
  <c r="C52"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87FD5F0-5A12-44E2-BA67-ABAE9A9EE986}" name="Query - Calender_Type" description="Connection to the 'Calender_Type' query in the workbook." type="100" refreshedVersion="8" minRefreshableVersion="5">
    <extLst>
      <ext xmlns:x15="http://schemas.microsoft.com/office/spreadsheetml/2010/11/main" uri="{DE250136-89BD-433C-8126-D09CA5730AF9}">
        <x15:connection id="9460880a-02a2-4281-92d2-b9a53965f4e2"/>
      </ext>
    </extLst>
  </connection>
  <connection id="2" xr16:uid="{84A3EC74-6BA3-469D-BABD-040D843E1C3C}" name="Query - Hospital Emergency Room Data" description="Connection to the 'Hospital Emergency Room Data' query in the workbook." type="100" refreshedVersion="8" minRefreshableVersion="5">
    <extLst>
      <ext xmlns:x15="http://schemas.microsoft.com/office/spreadsheetml/2010/11/main" uri="{DE250136-89BD-433C-8126-D09CA5730AF9}">
        <x15:connection id="9343864c-c754-4559-9ec1-beb8f4f661db"/>
      </ext>
    </extLst>
  </connection>
  <connection id="3" xr16:uid="{22F38344-8322-415E-BF53-7EEC76CD3E04}"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<sst xmlns="http://schemas.openxmlformats.org/spreadsheetml/2006/main" count="162" uniqueCount="80">
  <si>
    <t>2023-24</t>
  </si>
  <si>
    <t>No. of patient</t>
  </si>
  <si>
    <t>daily trends of no of patient</t>
  </si>
  <si>
    <t>average wait time</t>
  </si>
  <si>
    <t xml:space="preserve">satisfaction score daily trend </t>
  </si>
  <si>
    <t>Distinct Count of Patient Id</t>
  </si>
  <si>
    <t>Row Labels</t>
  </si>
  <si>
    <t>Average of Patient Waittime</t>
  </si>
  <si>
    <t>Average of Patient Satisfaction Score</t>
  </si>
  <si>
    <t>Grand Total</t>
  </si>
  <si>
    <t>Count of Patient Admission Flag</t>
  </si>
  <si>
    <t>Count of Patient Admission Flag2</t>
  </si>
  <si>
    <t xml:space="preserve">Admission Status </t>
  </si>
  <si>
    <t>No. of Patients</t>
  </si>
  <si>
    <t>% of Total</t>
  </si>
  <si>
    <t>Status in %</t>
  </si>
  <si>
    <t>age groupwise analysis</t>
  </si>
  <si>
    <t>Count of Age Group</t>
  </si>
  <si>
    <t>patient attended status</t>
  </si>
  <si>
    <t>Count of Patient attend Status</t>
  </si>
  <si>
    <t>gender wise analysis</t>
  </si>
  <si>
    <t>Count of Patient Gender</t>
  </si>
  <si>
    <t>Count of Department Referral</t>
  </si>
  <si>
    <t xml:space="preserve"> </t>
  </si>
  <si>
    <t>Admitted</t>
  </si>
  <si>
    <t>Not Admitted</t>
  </si>
  <si>
    <t>0-09</t>
  </si>
  <si>
    <t>10-19</t>
  </si>
  <si>
    <t>20-29</t>
  </si>
  <si>
    <t>30-39</t>
  </si>
  <si>
    <t>40-49</t>
  </si>
  <si>
    <t>50-59</t>
  </si>
  <si>
    <t>60-69</t>
  </si>
  <si>
    <t>70-79</t>
  </si>
  <si>
    <t>Delay</t>
  </si>
  <si>
    <t>Ontime</t>
  </si>
  <si>
    <t>Female</t>
  </si>
  <si>
    <t>Male</t>
  </si>
  <si>
    <t>Renal</t>
  </si>
  <si>
    <t>Neurology</t>
  </si>
  <si>
    <t>Gastroenterology</t>
  </si>
  <si>
    <t>Physiotherapy</t>
  </si>
  <si>
    <t>Cardiology</t>
  </si>
  <si>
    <t>Orthopedics</t>
  </si>
  <si>
    <t>General Practice</t>
  </si>
  <si>
    <t>None</t>
  </si>
  <si>
    <t>2024</t>
  </si>
  <si>
    <t>Qtr1</t>
  </si>
  <si>
    <t>1-Mar</t>
  </si>
  <si>
    <t>2-Mar</t>
  </si>
  <si>
    <t>3-Mar</t>
  </si>
  <si>
    <t>4-Mar</t>
  </si>
  <si>
    <t>5-Mar</t>
  </si>
  <si>
    <t>6-Mar</t>
  </si>
  <si>
    <t>7-Mar</t>
  </si>
  <si>
    <t>8-Mar</t>
  </si>
  <si>
    <t>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</si>
  <si>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</si>
  <si>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</si>
  <si>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</si>
  <si>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</si>
  <si>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</si>
  <si>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</si>
  <si>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</si>
  <si>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</si>
  <si>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</si>
  <si>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</si>
  <si>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</si>
  <si>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</si>
  <si>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</si>
  <si>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</si>
  <si>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</si>
  <si>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</si>
  <si>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</si>
  <si>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</si>
  <si>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</si>
  <si>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</si>
  <si>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</si>
  <si>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</si>
  <si>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Mar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</si>
</sst>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0"/>
      <color theme="1"/>
      <name val="Calibri"/>
      <family val="2"/>
      <scheme val="minor"/>
    </font>
    <font>
      <sz val="11"/>
      <color theme="1"/>
      <name val="Calibri"/>
      <family val="2"/>
      <scheme val="minor"/>
    </font>
    <font>
      <sz val="8"/>
      <color theme="1"/>
      <name val="Calibri"/>
      <family val="2"/>
      <scheme val="minor"/>
    </font>
  </fonts>
  <fills count="6">
    <fill>
      <patternFill patternType="none"/>
    </fill>
    <fill>
      <patternFill patternType="gray125"/>
    </fill>
    <fill>
      <patternFill patternType="solid">
        <fgColor theme="1" tint="0.34998626667073579"/>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8"/>
        <bgColor indexed="64"/>
      </patternFill>
    </fill>
  </fills>
  <borders count="1">
    <border>
      <left/>
      <right/>
      <top/>
      <bottom/>
      <diagonal/>
    </border>
  </borders>
  <cellStyleXfs count="2">
    <xf numFmtId="0" fontId="0" fillId="0" borderId="0"/>
    <xf numFmtId="9" fontId="2" fillId="0" borderId="0" applyFont="0" applyFill="0" applyBorder="0" applyAlignment="0" applyProtection="0"/>
  </cellStyleXfs>
  <cellXfs count="16">
    <xf numFmtId="0" fontId="0" fillId="0" borderId="0" xfId="0"/>
    <xf numFmtId="0" fontId="0" fillId="0" borderId="0" xfId="0" pivotButton="1"/>
    <xf numFmtId="2" fontId="0" fillId="0" borderId="0" xfId="0" applyNumberFormat="1"/>
    <xf numFmtId="0" fontId="0" fillId="2" borderId="0" xfId="0" applyFill="1"/>
    <xf numFmtId="0" fontId="0" fillId="0" borderId="0" xfId="0" applyAlignment="1">
      <alignment horizontal="left"/>
    </xf>
    <xf numFmtId="0" fontId="0" fillId="3" borderId="0" xfId="0" applyFill="1"/>
    <xf numFmtId="0" fontId="1" fillId="3" borderId="0" xfId="0" applyFont="1" applyFill="1"/>
    <xf numFmtId="0" fontId="3" fillId="5" borderId="0" xfId="0" applyFont="1" applyFill="1" applyAlignment="1">
      <alignment horizontal="center"/>
    </xf>
    <xf numFmtId="0" fontId="3" fillId="4" borderId="0" xfId="0" applyFont="1" applyFill="1" applyAlignment="1">
      <alignment horizontal="center"/>
    </xf>
    <xf numFmtId="9" fontId="3" fillId="4" borderId="0" xfId="1" applyFont="1" applyFill="1" applyAlignment="1">
      <alignment horizontal="center"/>
    </xf>
    <xf numFmtId="0" fontId="3" fillId="4" borderId="0" xfId="0" applyFont="1" applyFill="1"/>
    <xf numFmtId="0" fontId="0" fillId="0" borderId="0" xfId="0" applyAlignment="1">
      <alignment horizontal="left" indent="1"/>
    </xf>
    <xf numFmtId="0" fontId="0" fillId="0" borderId="0" xfId="0" applyAlignment="1">
      <alignment horizontal="left" indent="2"/>
    </xf>
    <xf numFmtId="14" fontId="0" fillId="0" borderId="0" xfId="0" applyNumberFormat="1" applyAlignment="1">
      <alignment horizontal="left" indent="3"/>
    </xf>
    <xf numFmtId="1" fontId="0" fillId="0" borderId="0" xfId="0" applyNumberFormat="1"/>
    <xf numFmtId="10" fontId="0" fillId="0" borderId="0" xfId="0" applyNumberFormat="1"/>
  </cellXfs>
  <cellStyles count="2">
    <cellStyle name="Normal" xfId="0" builtinId="0"/>
    <cellStyle name="Per cent" xfId="1" builtinId="5"/>
  </cellStyles>
  <dxfs count="17">
    <dxf>
      <numFmt numFmtId="1" formatCode="0"/>
    </dxf>
    <dxf>
      <numFmt numFmtId="1" formatCode="0"/>
    </dxf>
    <dxf>
      <numFmt numFmtId="2" formatCode="0.00"/>
    </dxf>
    <dxf>
      <numFmt numFmtId="1" formatCode="0"/>
    </dxf>
    <dxf>
      <numFmt numFmtId="1" formatCode="0"/>
    </dxf>
    <dxf>
      <numFmt numFmtId="1" formatCode="0"/>
    </dxf>
    <dxf>
      <numFmt numFmtId="14" formatCode="0.00%"/>
    </dxf>
    <dxf>
      <numFmt numFmtId="2" formatCode="0.00"/>
    </dxf>
    <dxf>
      <numFmt numFmtId="2" formatCode="0.00"/>
    </dxf>
    <dxf>
      <numFmt numFmtId="1" formatCode="0"/>
    </dxf>
    <dxf>
      <numFmt numFmtId="2" formatCode="0.00"/>
    </dxf>
    <dxf>
      <numFmt numFmtId="2" formatCode="0.00"/>
    </dxf>
    <dxf>
      <numFmt numFmtId="2" formatCode="0.00"/>
    </dxf>
    <dxf>
      <fill>
        <patternFill>
          <bgColor theme="5"/>
        </patternFill>
      </fill>
    </dxf>
    <dxf>
      <border diagonalUp="0" diagonalDown="0">
        <left/>
        <right/>
        <top/>
        <bottom/>
        <vertical/>
        <horizontal/>
      </border>
    </dxf>
    <dxf>
      <font>
        <b/>
        <color theme="1"/>
      </font>
      <border>
        <bottom style="thin">
          <color theme="5"/>
        </bottom>
        <vertical/>
        <horizontal/>
      </border>
    </dxf>
    <dxf>
      <font>
        <sz val="7"/>
        <color theme="1"/>
      </font>
      <fill>
        <patternFill>
          <bgColor theme="0" tint="-4.9989318521683403E-2"/>
        </patternFill>
      </fill>
      <border diagonalUp="0" diagonalDown="0">
        <left/>
        <right/>
        <top/>
        <bottom/>
        <vertical/>
        <horizontal/>
      </border>
    </dxf>
  </dxfs>
  <tableStyles count="3" defaultTableStyle="TableStyleMedium2" defaultPivotStyle="PivotStyleLight16">
    <tableStyle name="My Style" pivot="0" table="0" count="10" xr9:uid="{27D6FA6F-3325-40F5-A83D-BF31E1266866}">
      <tableStyleElement type="wholeTable" dxfId="16"/>
      <tableStyleElement type="headerRow" dxfId="15"/>
    </tableStyle>
    <tableStyle name="Slicer Style 1" pivot="0" table="0" count="1" xr9:uid="{7AD4C212-FEB9-475E-B165-EB6A31440D54}">
      <tableStyleElement type="wholeTable" dxfId="14"/>
    </tableStyle>
    <tableStyle name="Slicer Style 2" pivot="0" table="0" count="1" xr9:uid="{71AC5140-BC04-495C-84EE-382386CEE833}">
      <tableStyleElement type="wholeTable" dxfId="13"/>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0" tint="-0.14996795556505021"/>
            </patternFill>
          </fill>
          <border>
            <left style="thin">
              <color rgb="FF999999"/>
            </left>
            <right style="thin">
              <color rgb="FF999999"/>
            </right>
            <top style="thin">
              <color rgb="FF999999"/>
            </top>
            <bottom style="thin">
              <color rgb="FF999999"/>
            </bottom>
            <vertical/>
            <horizontal/>
          </border>
        </dxf>
        <dxf>
          <font>
            <color theme="5" tint="-0.249977111117893"/>
          </font>
          <fill>
            <patternFill patternType="solid">
              <fgColor theme="5" tint="0.59999389629810485"/>
              <bgColor theme="5" tint="0.59999389629810485"/>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color theme="0"/>
          </font>
          <fill>
            <patternFill patternType="solid">
              <fgColor theme="5"/>
              <bgColor theme="5"/>
            </patternFill>
          </fill>
          <border>
            <left style="thin">
              <color theme="5"/>
            </left>
            <right style="thin">
              <color theme="5"/>
            </right>
            <top style="thin">
              <color theme="5"/>
            </top>
            <bottom style="thin">
              <color theme="5"/>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theme="0" tint="-0.14996795556505021"/>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My Styl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 name="Slicer Style 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8.xml"/><Relationship Id="rId18" Type="http://schemas.openxmlformats.org/officeDocument/2006/relationships/pivotCacheDefinition" Target="pivotCache/pivotCacheDefinition13.xml"/><Relationship Id="rId26" Type="http://schemas.openxmlformats.org/officeDocument/2006/relationships/powerPivotData" Target="model/item.data"/><Relationship Id="rId39" Type="http://schemas.openxmlformats.org/officeDocument/2006/relationships/customXml" Target="../customXml/item12.xml"/><Relationship Id="rId21" Type="http://schemas.microsoft.com/office/2007/relationships/slicerCache" Target="slicerCaches/slicerCache2.xml"/><Relationship Id="rId34" Type="http://schemas.openxmlformats.org/officeDocument/2006/relationships/customXml" Target="../customXml/item7.xml"/><Relationship Id="rId42" Type="http://schemas.openxmlformats.org/officeDocument/2006/relationships/customXml" Target="../customXml/item15.xml"/><Relationship Id="rId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1.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pivotCacheDefinition" Target="pivotCache/pivotCacheDefinition6.xml"/><Relationship Id="rId24" Type="http://schemas.openxmlformats.org/officeDocument/2006/relationships/styles" Target="styles.xml"/><Relationship Id="rId32" Type="http://schemas.openxmlformats.org/officeDocument/2006/relationships/customXml" Target="../customXml/item5.xml"/><Relationship Id="rId37" Type="http://schemas.openxmlformats.org/officeDocument/2006/relationships/customXml" Target="../customXml/item10.xml"/><Relationship Id="rId40" Type="http://schemas.openxmlformats.org/officeDocument/2006/relationships/customXml" Target="../customXml/item13.xml"/><Relationship Id="rId45" Type="http://schemas.openxmlformats.org/officeDocument/2006/relationships/customXml" Target="../customXml/item18.xml"/><Relationship Id="rId5" Type="http://schemas.openxmlformats.org/officeDocument/2006/relationships/worksheet" Target="worksheets/sheet5.xml"/><Relationship Id="rId15" Type="http://schemas.openxmlformats.org/officeDocument/2006/relationships/pivotCacheDefinition" Target="pivotCache/pivotCacheDefinition10.xml"/><Relationship Id="rId23" Type="http://schemas.openxmlformats.org/officeDocument/2006/relationships/connections" Target="connections.xml"/><Relationship Id="rId28" Type="http://schemas.openxmlformats.org/officeDocument/2006/relationships/customXml" Target="../customXml/item1.xml"/><Relationship Id="rId36" Type="http://schemas.openxmlformats.org/officeDocument/2006/relationships/customXml" Target="../customXml/item9.xml"/><Relationship Id="rId10" Type="http://schemas.openxmlformats.org/officeDocument/2006/relationships/pivotCacheDefinition" Target="pivotCache/pivotCacheDefinition5.xml"/><Relationship Id="rId19" Type="http://schemas.openxmlformats.org/officeDocument/2006/relationships/pivotCacheDefinition" Target="pivotCache/pivotCacheDefinition14.xml"/><Relationship Id="rId31" Type="http://schemas.openxmlformats.org/officeDocument/2006/relationships/customXml" Target="../customXml/item4.xml"/><Relationship Id="rId44" Type="http://schemas.openxmlformats.org/officeDocument/2006/relationships/customXml" Target="../customXml/item17.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openxmlformats.org/officeDocument/2006/relationships/pivotCacheDefinition" Target="pivotCache/pivotCacheDefinition9.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 Id="rId35" Type="http://schemas.openxmlformats.org/officeDocument/2006/relationships/customXml" Target="../customXml/item8.xml"/><Relationship Id="rId43" Type="http://schemas.openxmlformats.org/officeDocument/2006/relationships/customXml" Target="../customXml/item16.xml"/><Relationship Id="rId8" Type="http://schemas.openxmlformats.org/officeDocument/2006/relationships/pivotCacheDefinition" Target="pivotCache/pivotCacheDefinition3.xml"/><Relationship Id="rId3" Type="http://schemas.openxmlformats.org/officeDocument/2006/relationships/worksheet" Target="worksheets/sheet3.xml"/><Relationship Id="rId12" Type="http://schemas.openxmlformats.org/officeDocument/2006/relationships/pivotCacheDefinition" Target="pivotCache/pivotCacheDefinition7.xml"/><Relationship Id="rId17" Type="http://schemas.openxmlformats.org/officeDocument/2006/relationships/pivotCacheDefinition" Target="pivotCache/pivotCacheDefinition12.xml"/><Relationship Id="rId25" Type="http://schemas.openxmlformats.org/officeDocument/2006/relationships/sharedStrings" Target="sharedStrings.xml"/><Relationship Id="rId33" Type="http://schemas.openxmlformats.org/officeDocument/2006/relationships/customXml" Target="../customXml/item6.xml"/><Relationship Id="rId38" Type="http://schemas.openxmlformats.org/officeDocument/2006/relationships/customXml" Target="../customXml/item11.xml"/><Relationship Id="rId20" Type="http://schemas.microsoft.com/office/2007/relationships/slicerCache" Target="slicerCaches/slicerCache1.xml"/><Relationship Id="rId41" Type="http://schemas.openxmlformats.org/officeDocument/2006/relationships/customXml" Target="../customXml/item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[Hospital_Emergency_Dashboard.xlsm]Pivot Report!PivotTable8</c:name>
    <c:fmtId val="0"/>
  </c:pivotSource>
  <c:chart>
    <c:autoTitleDeleted val="0"/>
    <c:pivotFmts>
      <c:pivotFmt>
        <c:idx val="0"/>
        <c:spPr>
          <a:solidFill>
            <a:schemeClr val="accent1"/>
          </a:solidFill>
          <a:ln>
            <a:no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s>
    <c:plotArea>
      <c:layout>
        <c:manualLayout>
          <c:layoutTarget val="inner"/>
          <c:xMode val="edge"/>
          <c:yMode val="edge"/>
          <c:x val="0.1645005981191095"/>
          <c:y val="5.7690429521146721E-3"/>
          <c:w val="0.83549940188089045"/>
          <c:h val="0.99423095704788511"/>
        </c:manualLayout>
      </c:layout>
      <c:barChart>
        <c:barDir val="bar"/>
        <c:grouping val="clustered"/>
        <c:varyColors val="0"/>
        <c:ser>
          <c:idx val="0"/>
          <c:order val="0"/>
          <c:tx>
            <c:strRef>
              <c:f>'Pivot Report'!$B$44</c:f>
              <c:strCache>
                <c:ptCount val="1"/>
                <c:pt idx="0">
                  <c:v>Count of Patient Admission Flag</c:v>
                </c:pt>
              </c:strCache>
            </c:strRef>
          </c:tx>
          <c:spPr>
            <a:solidFill>
              <a:schemeClr val="accent1"/>
            </a:solidFill>
            <a:ln>
              <a:noFill/>
            </a:ln>
            <a:effectLst/>
          </c:spPr>
          <c:invertIfNegative val="0"/>
          <c:cat>
            <c:strRef>
              <c:f>'Pivot Report'!$A$45:$A$47</c:f>
              <c:strCache>
                <c:ptCount val="2"/>
                <c:pt idx="0">
                  <c:v>Admitted</c:v>
                </c:pt>
                <c:pt idx="1">
                  <c:v>Not Admitted</c:v>
                </c:pt>
              </c:strCache>
            </c:strRef>
          </c:cat>
          <c:val>
            <c:numRef>
              <c:f>'Pivot Report'!$B$45:$B$47</c:f>
              <c:numCache>
                <c:formatCode>0</c:formatCode>
                <c:ptCount val="2"/>
                <c:pt idx="0">
                  <c:v>253</c:v>
                </c:pt>
                <c:pt idx="1">
                  <c:v>253</c:v>
                </c:pt>
              </c:numCache>
            </c:numRef>
          </c:val>
          <c:extLst>
            <c:ext xmlns:c16="http://schemas.microsoft.com/office/drawing/2014/chart" uri="{C3380CC4-5D6E-409C-BE32-E72D297353CC}">
              <c16:uniqueId val="{00000007-0828-4A7E-99C9-A311D999D8C9}"/>
            </c:ext>
          </c:extLst>
        </c:ser>
        <c:ser>
          <c:idx val="1"/>
          <c:order val="1"/>
          <c:tx>
            <c:strRef>
              <c:f>'Pivot Report'!$C$44</c:f>
              <c:strCache>
                <c:ptCount val="1"/>
                <c:pt idx="0">
                  <c:v>Count of Patient Admission Flag2</c:v>
                </c:pt>
              </c:strCache>
            </c:strRef>
          </c:tx>
          <c:spPr>
            <a:solidFill>
              <a:schemeClr val="accent2"/>
            </a:solidFill>
            <a:ln>
              <a:noFill/>
            </a:ln>
            <a:effectLst/>
          </c:spPr>
          <c:invertIfNegative val="0"/>
          <c:cat>
            <c:strRef>
              <c:f>'Pivot Report'!$A$45:$A$47</c:f>
              <c:strCache>
                <c:ptCount val="2"/>
                <c:pt idx="0">
                  <c:v>Admitted</c:v>
                </c:pt>
                <c:pt idx="1">
                  <c:v>Not Admitted</c:v>
                </c:pt>
              </c:strCache>
            </c:strRef>
          </c:cat>
          <c:val>
            <c:numRef>
              <c:f>'Pivot Report'!$C$45:$C$47</c:f>
              <c:numCache>
                <c:formatCode>0.00%</c:formatCode>
                <c:ptCount val="2"/>
                <c:pt idx="0">
                  <c:v>0.5</c:v>
                </c:pt>
                <c:pt idx="1">
                  <c:v>0.5</c:v>
                </c:pt>
              </c:numCache>
            </c:numRef>
          </c:val>
          <c:extLst>
            <c:ext xmlns:c16="http://schemas.microsoft.com/office/drawing/2014/chart" uri="{C3380CC4-5D6E-409C-BE32-E72D297353CC}">
              <c16:uniqueId val="{00000008-0828-4A7E-99C9-A311D999D8C9}"/>
            </c:ext>
          </c:extLst>
        </c:ser>
        <c:dLbls>
          <c:showLegendKey val="0"/>
          <c:showVal val="0"/>
          <c:showCatName val="0"/>
          <c:showSerName val="0"/>
          <c:showPercent val="0"/>
          <c:showBubbleSize val="0"/>
        </c:dLbls>
        <c:gapWidth val="0"/>
        <c:axId val="2072441119"/>
        <c:axId val="2072449279"/>
      </c:barChart>
      <c:catAx>
        <c:axId val="2072441119"/>
        <c:scaling>
          <c:orientation val="minMax"/>
        </c:scaling>
        <c:delete val="1"/>
        <c:axPos val="l"/>
        <c:numFmt formatCode="General" sourceLinked="1"/>
        <c:majorTickMark val="none"/>
        <c:minorTickMark val="none"/>
        <c:tickLblPos val="nextTo"/>
        <c:crossAx val="2072449279"/>
        <c:crosses val="autoZero"/>
        <c:auto val="1"/>
        <c:lblAlgn val="ctr"/>
        <c:lblOffset val="100"/>
        <c:noMultiLvlLbl val="0"/>
      </c:catAx>
      <c:valAx>
        <c:axId val="2072449279"/>
        <c:scaling>
          <c:orientation val="minMax"/>
        </c:scaling>
        <c:delete val="1"/>
        <c:axPos val="b"/>
        <c:numFmt formatCode="0" sourceLinked="1"/>
        <c:majorTickMark val="none"/>
        <c:minorTickMark val="none"/>
        <c:tickLblPos val="nextTo"/>
        <c:crossAx val="20724411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[Hospital_Emergency_Dashboard.xlsm]Pivot Report!PivotTable4</c:name>
    <c:fmtId val="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0010563512873414E-2"/>
          <c:y val="0.23504578658818959"/>
          <c:w val="0.95766865450970817"/>
          <c:h val="0.74142304417322713"/>
        </c:manualLayout>
      </c:layout>
      <c:areaChart>
        <c:grouping val="standard"/>
        <c:varyColors val="0"/>
        <c:ser>
          <c:idx val="0"/>
          <c:order val="0"/>
          <c:tx>
            <c:strRef>
              <c:f>'Pivot Report'!$F$6</c:f>
              <c:strCache>
                <c:ptCount val="1"/>
                <c:pt idx="0">
                  <c:v>Total</c:v>
                </c:pt>
              </c:strCache>
            </c:strRef>
          </c:tx>
          <c:spPr>
            <a:solidFill>
              <a:schemeClr val="accent1"/>
            </a:solidFill>
            <a:ln w="25400">
              <a:noFill/>
            </a:ln>
            <a:effectLst/>
          </c:spPr>
          <c:cat>
            <c:strRef>
              <c:f>'Pivot Report'!$E$7:$E$38</c:f>
              <c:strCache>
                <c:ptCount val="31"/>
                <c:pt idx="0">
                  <c:v>1-Mar</c:v>
                </c:pt>
                <c:pt idx="1">
                  <c:v>2-Mar</c:v>
                </c:pt>
                <c:pt idx="2">
                  <c:v>3-Mar</c:v>
                </c:pt>
                <c:pt idx="3">
                  <c:v>4-Mar</c:v>
                </c:pt>
                <c:pt idx="4">
                  <c:v>5-Mar</c:v>
                </c:pt>
                <c:pt idx="5">
                  <c:v>6-Mar</c:v>
                </c:pt>
                <c:pt idx="6">
                  <c:v>7-Mar</c:v>
                </c:pt>
                <c:pt idx="7">
                  <c:v>8-Mar</c:v>
                </c:pt>
                <c:pt idx="8">
                  <c:v>9-Mar</c:v>
                </c:pt>
                <c:pt idx="9">
                  <c:v>10-Mar</c:v>
                </c:pt>
                <c:pt idx="10">
                  <c:v>11-Mar</c:v>
                </c:pt>
                <c:pt idx="11">
                  <c:v>12-Mar</c:v>
                </c:pt>
                <c:pt idx="12">
                  <c:v>13-Mar</c:v>
                </c:pt>
                <c:pt idx="13">
                  <c:v>14-Mar</c:v>
                </c:pt>
                <c:pt idx="14">
                  <c:v>15-Mar</c:v>
                </c:pt>
                <c:pt idx="15">
                  <c:v>16-Mar</c:v>
                </c:pt>
                <c:pt idx="16">
                  <c:v>17-Mar</c:v>
                </c:pt>
                <c:pt idx="17">
                  <c:v>18-Mar</c:v>
                </c:pt>
                <c:pt idx="18">
                  <c:v>19-Mar</c:v>
                </c:pt>
                <c:pt idx="19">
                  <c:v>20-Mar</c:v>
                </c:pt>
                <c:pt idx="20">
                  <c:v>21-Mar</c:v>
                </c:pt>
                <c:pt idx="21">
                  <c:v>22-Mar</c:v>
                </c:pt>
                <c:pt idx="22">
                  <c:v>23-Mar</c:v>
                </c:pt>
                <c:pt idx="23">
                  <c:v>24-Mar</c:v>
                </c:pt>
                <c:pt idx="24">
                  <c:v>25-Mar</c:v>
                </c:pt>
                <c:pt idx="25">
                  <c:v>26-Mar</c:v>
                </c:pt>
                <c:pt idx="26">
                  <c:v>27-Mar</c:v>
                </c:pt>
                <c:pt idx="27">
                  <c:v>28-Mar</c:v>
                </c:pt>
                <c:pt idx="28">
                  <c:v>29-Mar</c:v>
                </c:pt>
                <c:pt idx="29">
                  <c:v>30-Mar</c:v>
                </c:pt>
                <c:pt idx="30">
                  <c:v>31-Mar</c:v>
                </c:pt>
              </c:strCache>
            </c:strRef>
          </c:cat>
          <c:val>
            <c:numRef>
              <c:f>'Pivot Report'!$F$7:$F$38</c:f>
              <c:numCache>
                <c:formatCode>General</c:formatCode>
                <c:ptCount val="31"/>
                <c:pt idx="0">
                  <c:v>19</c:v>
                </c:pt>
                <c:pt idx="1">
                  <c:v>24</c:v>
                </c:pt>
                <c:pt idx="2">
                  <c:v>24</c:v>
                </c:pt>
                <c:pt idx="3">
                  <c:v>14</c:v>
                </c:pt>
                <c:pt idx="4">
                  <c:v>14</c:v>
                </c:pt>
                <c:pt idx="5">
                  <c:v>16</c:v>
                </c:pt>
                <c:pt idx="6">
                  <c:v>26</c:v>
                </c:pt>
                <c:pt idx="7">
                  <c:v>14</c:v>
                </c:pt>
                <c:pt idx="8">
                  <c:v>22</c:v>
                </c:pt>
                <c:pt idx="9">
                  <c:v>18</c:v>
                </c:pt>
                <c:pt idx="10">
                  <c:v>20</c:v>
                </c:pt>
                <c:pt idx="11">
                  <c:v>13</c:v>
                </c:pt>
                <c:pt idx="12">
                  <c:v>13</c:v>
                </c:pt>
                <c:pt idx="13">
                  <c:v>14</c:v>
                </c:pt>
                <c:pt idx="14">
                  <c:v>13</c:v>
                </c:pt>
                <c:pt idx="15">
                  <c:v>18</c:v>
                </c:pt>
                <c:pt idx="16">
                  <c:v>12</c:v>
                </c:pt>
                <c:pt idx="17">
                  <c:v>11</c:v>
                </c:pt>
                <c:pt idx="18">
                  <c:v>14</c:v>
                </c:pt>
                <c:pt idx="19">
                  <c:v>12</c:v>
                </c:pt>
                <c:pt idx="20">
                  <c:v>16</c:v>
                </c:pt>
                <c:pt idx="21">
                  <c:v>16</c:v>
                </c:pt>
                <c:pt idx="22">
                  <c:v>15</c:v>
                </c:pt>
                <c:pt idx="23">
                  <c:v>22</c:v>
                </c:pt>
                <c:pt idx="24">
                  <c:v>18</c:v>
                </c:pt>
                <c:pt idx="25">
                  <c:v>10</c:v>
                </c:pt>
                <c:pt idx="26">
                  <c:v>17</c:v>
                </c:pt>
                <c:pt idx="27">
                  <c:v>17</c:v>
                </c:pt>
                <c:pt idx="28">
                  <c:v>12</c:v>
                </c:pt>
                <c:pt idx="29">
                  <c:v>14</c:v>
                </c:pt>
                <c:pt idx="30">
                  <c:v>18</c:v>
                </c:pt>
              </c:numCache>
            </c:numRef>
          </c:val>
          <c:extLst>
            <c:ext xmlns:c16="http://schemas.microsoft.com/office/drawing/2014/chart" uri="{C3380CC4-5D6E-409C-BE32-E72D297353CC}">
              <c16:uniqueId val="{00000004-1AA5-4D86-A506-9B640DF611B2}"/>
            </c:ext>
          </c:extLst>
        </c:ser>
        <c:dLbls>
          <c:showLegendKey val="0"/>
          <c:showVal val="0"/>
          <c:showCatName val="0"/>
          <c:showSerName val="0"/>
          <c:showPercent val="0"/>
          <c:showBubbleSize val="0"/>
        </c:dLbls>
        <c:axId val="680386751"/>
        <c:axId val="680385311"/>
      </c:areaChart>
      <c:catAx>
        <c:axId val="680386751"/>
        <c:scaling>
          <c:orientation val="minMax"/>
        </c:scaling>
        <c:delete val="1"/>
        <c:axPos val="b"/>
        <c:numFmt formatCode="General" sourceLinked="1"/>
        <c:majorTickMark val="out"/>
        <c:minorTickMark val="none"/>
        <c:tickLblPos val="nextTo"/>
        <c:crossAx val="680385311"/>
        <c:crosses val="autoZero"/>
        <c:auto val="1"/>
        <c:lblAlgn val="ctr"/>
        <c:lblOffset val="100"/>
        <c:noMultiLvlLbl val="0"/>
      </c:catAx>
      <c:valAx>
        <c:axId val="680385311"/>
        <c:scaling>
          <c:orientation val="minMax"/>
        </c:scaling>
        <c:delete val="1"/>
        <c:axPos val="l"/>
        <c:numFmt formatCode="General" sourceLinked="1"/>
        <c:majorTickMark val="none"/>
        <c:minorTickMark val="none"/>
        <c:tickLblPos val="nextTo"/>
        <c:crossAx val="680386751"/>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[Hospital_Emergency_Dashboard.xlsm]Pivot Report!PivotTable6</c:name>
    <c:fmtId val="1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
          <c:w val="0.99999999999999989"/>
          <c:h val="1"/>
        </c:manualLayout>
      </c:layout>
      <c:areaChart>
        <c:grouping val="standard"/>
        <c:varyColors val="0"/>
        <c:ser>
          <c:idx val="0"/>
          <c:order val="0"/>
          <c:tx>
            <c:strRef>
              <c:f>'Pivot Report'!$J$6</c:f>
              <c:strCache>
                <c:ptCount val="1"/>
                <c:pt idx="0">
                  <c:v>Total</c:v>
                </c:pt>
              </c:strCache>
            </c:strRef>
          </c:tx>
          <c:spPr>
            <a:solidFill>
              <a:schemeClr val="accent1"/>
            </a:solidFill>
            <a:ln w="25400">
              <a:noFill/>
            </a:ln>
            <a:effectLst/>
          </c:spPr>
          <c:cat>
            <c:strRef>
              <c:f>'Pivot Report'!$I$7:$I$38</c:f>
              <c:strCache>
                <c:ptCount val="31"/>
                <c:pt idx="0">
                  <c:v>1-Mar</c:v>
                </c:pt>
                <c:pt idx="1">
                  <c:v>2-Mar</c:v>
                </c:pt>
                <c:pt idx="2">
                  <c:v>3-Mar</c:v>
                </c:pt>
                <c:pt idx="3">
                  <c:v>4-Mar</c:v>
                </c:pt>
                <c:pt idx="4">
                  <c:v>5-Mar</c:v>
                </c:pt>
                <c:pt idx="5">
                  <c:v>6-Mar</c:v>
                </c:pt>
                <c:pt idx="6">
                  <c:v>7-Mar</c:v>
                </c:pt>
                <c:pt idx="7">
                  <c:v>8-Mar</c:v>
                </c:pt>
                <c:pt idx="8">
                  <c:v>9-Mar</c:v>
                </c:pt>
                <c:pt idx="9">
                  <c:v>10-Mar</c:v>
                </c:pt>
                <c:pt idx="10">
                  <c:v>11-Mar</c:v>
                </c:pt>
                <c:pt idx="11">
                  <c:v>12-Mar</c:v>
                </c:pt>
                <c:pt idx="12">
                  <c:v>13-Mar</c:v>
                </c:pt>
                <c:pt idx="13">
                  <c:v>14-Mar</c:v>
                </c:pt>
                <c:pt idx="14">
                  <c:v>15-Mar</c:v>
                </c:pt>
                <c:pt idx="15">
                  <c:v>16-Mar</c:v>
                </c:pt>
                <c:pt idx="16">
                  <c:v>17-Mar</c:v>
                </c:pt>
                <c:pt idx="17">
                  <c:v>18-Mar</c:v>
                </c:pt>
                <c:pt idx="18">
                  <c:v>19-Mar</c:v>
                </c:pt>
                <c:pt idx="19">
                  <c:v>20-Mar</c:v>
                </c:pt>
                <c:pt idx="20">
                  <c:v>21-Mar</c:v>
                </c:pt>
                <c:pt idx="21">
                  <c:v>22-Mar</c:v>
                </c:pt>
                <c:pt idx="22">
                  <c:v>23-Mar</c:v>
                </c:pt>
                <c:pt idx="23">
                  <c:v>24-Mar</c:v>
                </c:pt>
                <c:pt idx="24">
                  <c:v>25-Mar</c:v>
                </c:pt>
                <c:pt idx="25">
                  <c:v>26-Mar</c:v>
                </c:pt>
                <c:pt idx="26">
                  <c:v>27-Mar</c:v>
                </c:pt>
                <c:pt idx="27">
                  <c:v>28-Mar</c:v>
                </c:pt>
                <c:pt idx="28">
                  <c:v>29-Mar</c:v>
                </c:pt>
                <c:pt idx="29">
                  <c:v>30-Mar</c:v>
                </c:pt>
                <c:pt idx="30">
                  <c:v>31-Mar</c:v>
                </c:pt>
              </c:strCache>
            </c:strRef>
          </c:cat>
          <c:val>
            <c:numRef>
              <c:f>'Pivot Report'!$J$7:$J$38</c:f>
              <c:numCache>
                <c:formatCode>0.00</c:formatCode>
                <c:ptCount val="31"/>
                <c:pt idx="0">
                  <c:v>34.526315789473685</c:v>
                </c:pt>
                <c:pt idx="1">
                  <c:v>33.708333333333336</c:v>
                </c:pt>
                <c:pt idx="2">
                  <c:v>36.291666666666664</c:v>
                </c:pt>
                <c:pt idx="3">
                  <c:v>35.071428571428569</c:v>
                </c:pt>
                <c:pt idx="4">
                  <c:v>31.571428571428573</c:v>
                </c:pt>
                <c:pt idx="5">
                  <c:v>31.8125</c:v>
                </c:pt>
                <c:pt idx="6">
                  <c:v>36.846153846153847</c:v>
                </c:pt>
                <c:pt idx="7">
                  <c:v>34.071428571428569</c:v>
                </c:pt>
                <c:pt idx="8">
                  <c:v>33</c:v>
                </c:pt>
                <c:pt idx="9">
                  <c:v>40.222222222222221</c:v>
                </c:pt>
                <c:pt idx="10">
                  <c:v>42.05</c:v>
                </c:pt>
                <c:pt idx="11">
                  <c:v>42.615384615384613</c:v>
                </c:pt>
                <c:pt idx="12">
                  <c:v>40.46153846153846</c:v>
                </c:pt>
                <c:pt idx="13">
                  <c:v>34.071428571428569</c:v>
                </c:pt>
                <c:pt idx="14">
                  <c:v>33.92307692307692</c:v>
                </c:pt>
                <c:pt idx="15">
                  <c:v>43.166666666666664</c:v>
                </c:pt>
                <c:pt idx="16">
                  <c:v>42.25</c:v>
                </c:pt>
                <c:pt idx="17">
                  <c:v>44.090909090909093</c:v>
                </c:pt>
                <c:pt idx="18">
                  <c:v>39</c:v>
                </c:pt>
                <c:pt idx="19">
                  <c:v>31.25</c:v>
                </c:pt>
                <c:pt idx="20">
                  <c:v>28.5</c:v>
                </c:pt>
                <c:pt idx="21">
                  <c:v>34.0625</c:v>
                </c:pt>
                <c:pt idx="22">
                  <c:v>25.2</c:v>
                </c:pt>
                <c:pt idx="23">
                  <c:v>35.863636363636367</c:v>
                </c:pt>
                <c:pt idx="24">
                  <c:v>39.833333333333336</c:v>
                </c:pt>
                <c:pt idx="25">
                  <c:v>37</c:v>
                </c:pt>
                <c:pt idx="26">
                  <c:v>39.411764705882355</c:v>
                </c:pt>
                <c:pt idx="27">
                  <c:v>30.294117647058822</c:v>
                </c:pt>
                <c:pt idx="28">
                  <c:v>32.666666666666664</c:v>
                </c:pt>
                <c:pt idx="29">
                  <c:v>30.571428571428573</c:v>
                </c:pt>
                <c:pt idx="30">
                  <c:v>39.055555555555557</c:v>
                </c:pt>
              </c:numCache>
            </c:numRef>
          </c:val>
          <c:extLst>
            <c:ext xmlns:c16="http://schemas.microsoft.com/office/drawing/2014/chart" uri="{C3380CC4-5D6E-409C-BE32-E72D297353CC}">
              <c16:uniqueId val="{00000004-FCC9-43AF-9090-7B1E47A7361D}"/>
            </c:ext>
          </c:extLst>
        </c:ser>
        <c:dLbls>
          <c:showLegendKey val="0"/>
          <c:showVal val="0"/>
          <c:showCatName val="0"/>
          <c:showSerName val="0"/>
          <c:showPercent val="0"/>
          <c:showBubbleSize val="0"/>
        </c:dLbls>
        <c:axId val="1893240655"/>
        <c:axId val="1893241135"/>
      </c:areaChart>
      <c:catAx>
        <c:axId val="1893240655"/>
        <c:scaling>
          <c:orientation val="minMax"/>
        </c:scaling>
        <c:delete val="1"/>
        <c:axPos val="b"/>
        <c:numFmt formatCode="General" sourceLinked="1"/>
        <c:majorTickMark val="out"/>
        <c:minorTickMark val="none"/>
        <c:tickLblPos val="nextTo"/>
        <c:crossAx val="1893241135"/>
        <c:crosses val="autoZero"/>
        <c:auto val="1"/>
        <c:lblAlgn val="ctr"/>
        <c:lblOffset val="100"/>
        <c:noMultiLvlLbl val="0"/>
      </c:catAx>
      <c:valAx>
        <c:axId val="1893241135"/>
        <c:scaling>
          <c:orientation val="minMax"/>
        </c:scaling>
        <c:delete val="1"/>
        <c:axPos val="l"/>
        <c:numFmt formatCode="0.00" sourceLinked="1"/>
        <c:majorTickMark val="none"/>
        <c:minorTickMark val="none"/>
        <c:tickLblPos val="nextTo"/>
        <c:crossAx val="1893240655"/>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[Hospital_Emergency_Dashboard.xlsm]Pivot Report!PivotTable7</c:name>
    <c:fmtId val="2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7777777777777779E-3"/>
          <c:y val="4.6296296296296294E-3"/>
          <c:w val="0.99722222222222223"/>
          <c:h val="0.99537037037037035"/>
        </c:manualLayout>
      </c:layout>
      <c:areaChart>
        <c:grouping val="standard"/>
        <c:varyColors val="0"/>
        <c:ser>
          <c:idx val="0"/>
          <c:order val="0"/>
          <c:tx>
            <c:strRef>
              <c:f>'Pivot Report'!$N$6</c:f>
              <c:strCache>
                <c:ptCount val="1"/>
                <c:pt idx="0">
                  <c:v>Total</c:v>
                </c:pt>
              </c:strCache>
            </c:strRef>
          </c:tx>
          <c:spPr>
            <a:solidFill>
              <a:schemeClr val="accent1"/>
            </a:solidFill>
            <a:ln w="25400">
              <a:noFill/>
            </a:ln>
            <a:effectLst/>
          </c:spPr>
          <c:cat>
            <c:strRef>
              <c:f>'Pivot Report'!$M$7:$M$38</c:f>
              <c:strCache>
                <c:ptCount val="31"/>
                <c:pt idx="0">
                  <c:v>1-Mar</c:v>
                </c:pt>
                <c:pt idx="1">
                  <c:v>2-Mar</c:v>
                </c:pt>
                <c:pt idx="2">
                  <c:v>3-Mar</c:v>
                </c:pt>
                <c:pt idx="3">
                  <c:v>4-Mar</c:v>
                </c:pt>
                <c:pt idx="4">
                  <c:v>5-Mar</c:v>
                </c:pt>
                <c:pt idx="5">
                  <c:v>6-Mar</c:v>
                </c:pt>
                <c:pt idx="6">
                  <c:v>7-Mar</c:v>
                </c:pt>
                <c:pt idx="7">
                  <c:v>8-Mar</c:v>
                </c:pt>
                <c:pt idx="8">
                  <c:v>9-Mar</c:v>
                </c:pt>
                <c:pt idx="9">
                  <c:v>10-Mar</c:v>
                </c:pt>
                <c:pt idx="10">
                  <c:v>11-Mar</c:v>
                </c:pt>
                <c:pt idx="11">
                  <c:v>12-Mar</c:v>
                </c:pt>
                <c:pt idx="12">
                  <c:v>13-Mar</c:v>
                </c:pt>
                <c:pt idx="13">
                  <c:v>14-Mar</c:v>
                </c:pt>
                <c:pt idx="14">
                  <c:v>15-Mar</c:v>
                </c:pt>
                <c:pt idx="15">
                  <c:v>16-Mar</c:v>
                </c:pt>
                <c:pt idx="16">
                  <c:v>17-Mar</c:v>
                </c:pt>
                <c:pt idx="17">
                  <c:v>18-Mar</c:v>
                </c:pt>
                <c:pt idx="18">
                  <c:v>19-Mar</c:v>
                </c:pt>
                <c:pt idx="19">
                  <c:v>20-Mar</c:v>
                </c:pt>
                <c:pt idx="20">
                  <c:v>21-Mar</c:v>
                </c:pt>
                <c:pt idx="21">
                  <c:v>22-Mar</c:v>
                </c:pt>
                <c:pt idx="22">
                  <c:v>23-Mar</c:v>
                </c:pt>
                <c:pt idx="23">
                  <c:v>24-Mar</c:v>
                </c:pt>
                <c:pt idx="24">
                  <c:v>25-Mar</c:v>
                </c:pt>
                <c:pt idx="25">
                  <c:v>26-Mar</c:v>
                </c:pt>
                <c:pt idx="26">
                  <c:v>27-Mar</c:v>
                </c:pt>
                <c:pt idx="27">
                  <c:v>28-Mar</c:v>
                </c:pt>
                <c:pt idx="28">
                  <c:v>29-Mar</c:v>
                </c:pt>
                <c:pt idx="29">
                  <c:v>30-Mar</c:v>
                </c:pt>
                <c:pt idx="30">
                  <c:v>31-Mar</c:v>
                </c:pt>
              </c:strCache>
            </c:strRef>
          </c:cat>
          <c:val>
            <c:numRef>
              <c:f>'Pivot Report'!$N$7:$N$38</c:f>
              <c:numCache>
                <c:formatCode>0.00</c:formatCode>
                <c:ptCount val="31"/>
                <c:pt idx="0">
                  <c:v>7.2</c:v>
                </c:pt>
                <c:pt idx="1">
                  <c:v>6</c:v>
                </c:pt>
                <c:pt idx="2">
                  <c:v>1.5</c:v>
                </c:pt>
                <c:pt idx="3">
                  <c:v>2.75</c:v>
                </c:pt>
                <c:pt idx="4">
                  <c:v>5</c:v>
                </c:pt>
                <c:pt idx="5">
                  <c:v>5.5</c:v>
                </c:pt>
                <c:pt idx="6">
                  <c:v>5.0909090909090908</c:v>
                </c:pt>
                <c:pt idx="7">
                  <c:v>7.666666666666667</c:v>
                </c:pt>
                <c:pt idx="8">
                  <c:v>3.5</c:v>
                </c:pt>
                <c:pt idx="9">
                  <c:v>3.6666666666666665</c:v>
                </c:pt>
                <c:pt idx="10">
                  <c:v>3.8</c:v>
                </c:pt>
                <c:pt idx="11">
                  <c:v>1</c:v>
                </c:pt>
                <c:pt idx="12">
                  <c:v>7</c:v>
                </c:pt>
                <c:pt idx="13">
                  <c:v>5</c:v>
                </c:pt>
                <c:pt idx="14">
                  <c:v>4.25</c:v>
                </c:pt>
                <c:pt idx="15">
                  <c:v>4</c:v>
                </c:pt>
                <c:pt idx="16">
                  <c:v>7.333333333333333</c:v>
                </c:pt>
                <c:pt idx="17">
                  <c:v>9</c:v>
                </c:pt>
                <c:pt idx="18">
                  <c:v>5.25</c:v>
                </c:pt>
                <c:pt idx="19">
                  <c:v>6.6</c:v>
                </c:pt>
                <c:pt idx="20">
                  <c:v>6.25</c:v>
                </c:pt>
                <c:pt idx="21">
                  <c:v>6.333333333333333</c:v>
                </c:pt>
                <c:pt idx="22">
                  <c:v>7</c:v>
                </c:pt>
                <c:pt idx="23">
                  <c:v>5.666666666666667</c:v>
                </c:pt>
                <c:pt idx="24">
                  <c:v>3.3333333333333335</c:v>
                </c:pt>
                <c:pt idx="25">
                  <c:v>4.75</c:v>
                </c:pt>
                <c:pt idx="26">
                  <c:v>2</c:v>
                </c:pt>
                <c:pt idx="27">
                  <c:v>9.25</c:v>
                </c:pt>
                <c:pt idx="28">
                  <c:v>2.6666666666666665</c:v>
                </c:pt>
                <c:pt idx="29">
                  <c:v>4</c:v>
                </c:pt>
                <c:pt idx="30">
                  <c:v>8.75</c:v>
                </c:pt>
              </c:numCache>
            </c:numRef>
          </c:val>
          <c:extLst>
            <c:ext xmlns:c16="http://schemas.microsoft.com/office/drawing/2014/chart" uri="{C3380CC4-5D6E-409C-BE32-E72D297353CC}">
              <c16:uniqueId val="{00000004-38A5-42A4-B121-99C41E73AE83}"/>
            </c:ext>
          </c:extLst>
        </c:ser>
        <c:dLbls>
          <c:showLegendKey val="0"/>
          <c:showVal val="0"/>
          <c:showCatName val="0"/>
          <c:showSerName val="0"/>
          <c:showPercent val="0"/>
          <c:showBubbleSize val="0"/>
        </c:dLbls>
        <c:axId val="937419007"/>
        <c:axId val="937430047"/>
      </c:areaChart>
      <c:catAx>
        <c:axId val="937419007"/>
        <c:scaling>
          <c:orientation val="minMax"/>
        </c:scaling>
        <c:delete val="1"/>
        <c:axPos val="b"/>
        <c:numFmt formatCode="General" sourceLinked="1"/>
        <c:majorTickMark val="out"/>
        <c:minorTickMark val="none"/>
        <c:tickLblPos val="nextTo"/>
        <c:crossAx val="937430047"/>
        <c:crosses val="autoZero"/>
        <c:auto val="1"/>
        <c:lblAlgn val="ctr"/>
        <c:lblOffset val="100"/>
        <c:noMultiLvlLbl val="0"/>
      </c:catAx>
      <c:valAx>
        <c:axId val="937430047"/>
        <c:scaling>
          <c:orientation val="minMax"/>
        </c:scaling>
        <c:delete val="1"/>
        <c:axPos val="l"/>
        <c:numFmt formatCode="0.00" sourceLinked="1"/>
        <c:majorTickMark val="none"/>
        <c:minorTickMark val="none"/>
        <c:tickLblPos val="nextTo"/>
        <c:crossAx val="937419007"/>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[Hospital_Emergency_Dashboard.xlsm]Pivot Report!PivotTable9</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9801851170707205E-2"/>
          <c:y val="9.9166621117693712E-2"/>
          <c:w val="0.92039629765858555"/>
          <c:h val="0.59433824407036029"/>
        </c:manualLayout>
      </c:layout>
      <c:barChart>
        <c:barDir val="col"/>
        <c:grouping val="clustered"/>
        <c:varyColors val="0"/>
        <c:ser>
          <c:idx val="0"/>
          <c:order val="0"/>
          <c:tx>
            <c:strRef>
              <c:f>'Pivot Report'!$B$57</c:f>
              <c:strCache>
                <c:ptCount val="1"/>
                <c:pt idx="0">
                  <c:v>Total</c:v>
                </c:pt>
              </c:strCache>
            </c:strRef>
          </c:tx>
          <c:spPr>
            <a:solidFill>
              <a:schemeClr val="accent1"/>
            </a:solidFill>
            <a:ln>
              <a:noFill/>
            </a:ln>
            <a:effectLst/>
          </c:spPr>
          <c:invertIfNegative val="0"/>
          <c:cat>
            <c:strRef>
              <c:f>'Pivot Report'!$A$58:$A$66</c:f>
              <c:strCache>
                <c:ptCount val="8"/>
                <c:pt idx="0">
                  <c:v>0-09</c:v>
                </c:pt>
                <c:pt idx="1">
                  <c:v>10-19</c:v>
                </c:pt>
                <c:pt idx="2">
                  <c:v>20-29</c:v>
                </c:pt>
                <c:pt idx="3">
                  <c:v>30-39</c:v>
                </c:pt>
                <c:pt idx="4">
                  <c:v>40-49</c:v>
                </c:pt>
                <c:pt idx="5">
                  <c:v>50-59</c:v>
                </c:pt>
                <c:pt idx="6">
                  <c:v>60-69</c:v>
                </c:pt>
                <c:pt idx="7">
                  <c:v>70-79</c:v>
                </c:pt>
              </c:strCache>
            </c:strRef>
          </c:cat>
          <c:val>
            <c:numRef>
              <c:f>'Pivot Report'!$B$58:$B$66</c:f>
              <c:numCache>
                <c:formatCode>0</c:formatCode>
                <c:ptCount val="8"/>
                <c:pt idx="0">
                  <c:v>64</c:v>
                </c:pt>
                <c:pt idx="1">
                  <c:v>66</c:v>
                </c:pt>
                <c:pt idx="2">
                  <c:v>65</c:v>
                </c:pt>
                <c:pt idx="3">
                  <c:v>73</c:v>
                </c:pt>
                <c:pt idx="4">
                  <c:v>45</c:v>
                </c:pt>
                <c:pt idx="5">
                  <c:v>72</c:v>
                </c:pt>
                <c:pt idx="6">
                  <c:v>74</c:v>
                </c:pt>
                <c:pt idx="7">
                  <c:v>47</c:v>
                </c:pt>
              </c:numCache>
            </c:numRef>
          </c:val>
          <c:extLst>
            <c:ext xmlns:c16="http://schemas.microsoft.com/office/drawing/2014/chart" uri="{C3380CC4-5D6E-409C-BE32-E72D297353CC}">
              <c16:uniqueId val="{00000004-2023-4F7B-94D4-10F306F6DF6D}"/>
            </c:ext>
          </c:extLst>
        </c:ser>
        <c:dLbls>
          <c:showLegendKey val="0"/>
          <c:showVal val="0"/>
          <c:showCatName val="0"/>
          <c:showSerName val="0"/>
          <c:showPercent val="0"/>
          <c:showBubbleSize val="0"/>
        </c:dLbls>
        <c:gapWidth val="219"/>
        <c:overlap val="-27"/>
        <c:axId val="1709810239"/>
        <c:axId val="1094961327"/>
      </c:barChart>
      <c:catAx>
        <c:axId val="17098102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n-US"/>
          </a:p>
        </c:txPr>
        <c:crossAx val="1094961327"/>
        <c:crosses val="autoZero"/>
        <c:auto val="1"/>
        <c:lblAlgn val="ctr"/>
        <c:lblOffset val="100"/>
        <c:noMultiLvlLbl val="0"/>
      </c:catAx>
      <c:valAx>
        <c:axId val="1094961327"/>
        <c:scaling>
          <c:orientation val="minMax"/>
        </c:scaling>
        <c:delete val="1"/>
        <c:axPos val="l"/>
        <c:numFmt formatCode="0" sourceLinked="1"/>
        <c:majorTickMark val="none"/>
        <c:minorTickMark val="none"/>
        <c:tickLblPos val="nextTo"/>
        <c:crossAx val="17098102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[Hospital_Emergency_Dashboard.xlsm]Pivot Report!PivotTable10</c:name>
    <c:fmtId val="11"/>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outerShdw blurRad="317500" algn="ctr" rotWithShape="0">
              <a:prstClr val="black">
                <a:alpha val="25000"/>
              </a:prstClr>
            </a:outerShdw>
          </a:effectLst>
        </c:spPr>
      </c:pivotFmt>
      <c:pivotFmt>
        <c:idx val="6"/>
        <c:spPr>
          <a:solidFill>
            <a:schemeClr val="accent1"/>
          </a:solidFill>
          <a:ln>
            <a:noFill/>
          </a:ln>
          <a:effectLst>
            <a:outerShdw blurRad="317500" algn="ctr" rotWithShape="0">
              <a:prstClr val="black">
                <a:alpha val="25000"/>
              </a:prstClr>
            </a:outerShdw>
          </a:effectLst>
        </c:spPr>
      </c:pivotFmt>
    </c:pivotFmts>
    <c:plotArea>
      <c:layout>
        <c:manualLayout>
          <c:layoutTarget val="inner"/>
          <c:xMode val="edge"/>
          <c:yMode val="edge"/>
          <c:x val="0.23642472055777775"/>
          <c:y val="0.1992451810996759"/>
          <c:w val="0.58852287641898282"/>
          <c:h val="0.6512586927207924"/>
        </c:manualLayout>
      </c:layout>
      <c:pieChart>
        <c:varyColors val="1"/>
        <c:ser>
          <c:idx val="0"/>
          <c:order val="0"/>
          <c:tx>
            <c:strRef>
              <c:f>'Pivot Report'!$B$71</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E7C2-4F85-8977-0599791DDB8A}"/>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E7C2-4F85-8977-0599791DDB8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 Report'!$A$72:$A$74</c:f>
              <c:strCache>
                <c:ptCount val="2"/>
                <c:pt idx="0">
                  <c:v>Delay</c:v>
                </c:pt>
                <c:pt idx="1">
                  <c:v>Ontime</c:v>
                </c:pt>
              </c:strCache>
            </c:strRef>
          </c:cat>
          <c:val>
            <c:numRef>
              <c:f>'Pivot Report'!$B$72:$B$74</c:f>
              <c:numCache>
                <c:formatCode>0</c:formatCode>
                <c:ptCount val="2"/>
                <c:pt idx="0">
                  <c:v>312</c:v>
                </c:pt>
                <c:pt idx="1">
                  <c:v>194</c:v>
                </c:pt>
              </c:numCache>
            </c:numRef>
          </c:val>
          <c:extLst>
            <c:ext xmlns:c16="http://schemas.microsoft.com/office/drawing/2014/chart" uri="{C3380CC4-5D6E-409C-BE32-E72D297353CC}">
              <c16:uniqueId val="{00000004-3395-49E8-9864-B017D8BA1E85}"/>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7.7431209560431966E-2"/>
          <c:y val="3.2040377643489139E-2"/>
          <c:w val="0.31004252897187395"/>
          <c:h val="0.29904368283391142"/>
        </c:manualLayout>
      </c:layout>
      <c:overlay val="0"/>
      <c:spPr>
        <a:noFill/>
        <a:ln>
          <a:noFill/>
        </a:ln>
        <a:effectLst/>
      </c:spPr>
      <c:txPr>
        <a:bodyPr rot="0" spcFirstLastPara="1" vertOverflow="ellipsis" vert="horz" wrap="square" anchor="ctr" anchorCtr="1"/>
        <a:lstStyle/>
        <a:p>
          <a:pPr>
            <a:defRPr sz="6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[Hospital_Emergency_Dashboard.xlsm]Pivot Report!PivotTable11</c:name>
    <c:fmtId val="16"/>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outerShdw blurRad="317500" algn="ctr" rotWithShape="0">
              <a:prstClr val="black">
                <a:alpha val="25000"/>
              </a:prstClr>
            </a:outerShdw>
          </a:effectLst>
        </c:spPr>
      </c:pivotFmt>
      <c:pivotFmt>
        <c:idx val="6"/>
        <c:spPr>
          <a:solidFill>
            <a:schemeClr val="accent1"/>
          </a:solidFill>
          <a:ln>
            <a:noFill/>
          </a:ln>
          <a:effectLst>
            <a:outerShdw blurRad="317500" algn="ctr" rotWithShape="0">
              <a:prstClr val="black">
                <a:alpha val="25000"/>
              </a:prstClr>
            </a:outerShdw>
          </a:effectLst>
        </c:spPr>
      </c:pivotFmt>
    </c:pivotFmts>
    <c:plotArea>
      <c:layout>
        <c:manualLayout>
          <c:layoutTarget val="inner"/>
          <c:xMode val="edge"/>
          <c:yMode val="edge"/>
          <c:x val="0.23911125201447778"/>
          <c:y val="0.21067556852746774"/>
          <c:w val="0.53575183897764544"/>
          <c:h val="0.6064258812432074"/>
        </c:manualLayout>
      </c:layout>
      <c:doughnutChart>
        <c:varyColors val="1"/>
        <c:ser>
          <c:idx val="0"/>
          <c:order val="0"/>
          <c:tx>
            <c:strRef>
              <c:f>'Pivot Report'!$B$79</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EED4-4E82-BBB1-3B7262E6AA8A}"/>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EED4-4E82-BBB1-3B7262E6AA8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 Report'!$A$80:$A$82</c:f>
              <c:strCache>
                <c:ptCount val="2"/>
                <c:pt idx="0">
                  <c:v>Female</c:v>
                </c:pt>
                <c:pt idx="1">
                  <c:v>Male</c:v>
                </c:pt>
              </c:strCache>
            </c:strRef>
          </c:cat>
          <c:val>
            <c:numRef>
              <c:f>'Pivot Report'!$B$80:$B$82</c:f>
              <c:numCache>
                <c:formatCode>0</c:formatCode>
                <c:ptCount val="2"/>
                <c:pt idx="0">
                  <c:v>231</c:v>
                </c:pt>
                <c:pt idx="1">
                  <c:v>275</c:v>
                </c:pt>
              </c:numCache>
            </c:numRef>
          </c:val>
          <c:extLst>
            <c:ext xmlns:c16="http://schemas.microsoft.com/office/drawing/2014/chart" uri="{C3380CC4-5D6E-409C-BE32-E72D297353CC}">
              <c16:uniqueId val="{00000004-3EB7-42CF-9FD8-788E3349412D}"/>
            </c:ext>
          </c:extLst>
        </c:ser>
        <c:dLbls>
          <c:showLegendKey val="0"/>
          <c:showVal val="0"/>
          <c:showCatName val="0"/>
          <c:showSerName val="0"/>
          <c:showPercent val="1"/>
          <c:showBubbleSize val="0"/>
          <c:showLeaderLines val="1"/>
        </c:dLbls>
        <c:firstSliceAng val="0"/>
        <c:holeSize val="44"/>
      </c:doughnutChart>
      <c:spPr>
        <a:noFill/>
        <a:ln>
          <a:noFill/>
        </a:ln>
        <a:effectLst/>
      </c:spPr>
    </c:plotArea>
    <c:legend>
      <c:legendPos val="r"/>
      <c:layout>
        <c:manualLayout>
          <c:xMode val="edge"/>
          <c:yMode val="edge"/>
          <c:x val="0.12521503489245425"/>
          <c:y val="5.7725104067696979E-2"/>
          <c:w val="0.29107138139396205"/>
          <c:h val="0.28759082427084259"/>
        </c:manualLayout>
      </c:layout>
      <c:overlay val="0"/>
      <c:spPr>
        <a:noFill/>
        <a:ln>
          <a:noFill/>
        </a:ln>
        <a:effectLst/>
      </c:spPr>
      <c:txPr>
        <a:bodyPr rot="0" spcFirstLastPara="1" vertOverflow="ellipsis" vert="horz" wrap="square" anchor="ctr" anchorCtr="1"/>
        <a:lstStyle/>
        <a:p>
          <a:pPr>
            <a:defRPr sz="6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[Hospital_Emergency_Dashboard.xlsm]Pivot Report!PivotTable12</c:name>
    <c:fmtId val="2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554304039487324"/>
          <c:y val="1.2598816385842026E-2"/>
          <c:w val="0.6806774687649092"/>
          <c:h val="0.98413303080301484"/>
        </c:manualLayout>
      </c:layout>
      <c:barChart>
        <c:barDir val="bar"/>
        <c:grouping val="clustered"/>
        <c:varyColors val="0"/>
        <c:ser>
          <c:idx val="0"/>
          <c:order val="0"/>
          <c:tx>
            <c:strRef>
              <c:f>'Pivot Report'!$B$86</c:f>
              <c:strCache>
                <c:ptCount val="1"/>
                <c:pt idx="0">
                  <c:v>Total</c:v>
                </c:pt>
              </c:strCache>
            </c:strRef>
          </c:tx>
          <c:spPr>
            <a:solidFill>
              <a:schemeClr val="accent1"/>
            </a:solidFill>
            <a:ln>
              <a:noFill/>
            </a:ln>
            <a:effectLst/>
          </c:spPr>
          <c:invertIfNegative val="0"/>
          <c:cat>
            <c:strRef>
              <c:f>'Pivot Report'!$A$87:$A$95</c:f>
              <c:strCache>
                <c:ptCount val="8"/>
                <c:pt idx="0">
                  <c:v>Renal</c:v>
                </c:pt>
                <c:pt idx="1">
                  <c:v>Neurology</c:v>
                </c:pt>
                <c:pt idx="2">
                  <c:v>Gastroenterology</c:v>
                </c:pt>
                <c:pt idx="3">
                  <c:v>Physiotherapy</c:v>
                </c:pt>
                <c:pt idx="4">
                  <c:v>Cardiology</c:v>
                </c:pt>
                <c:pt idx="5">
                  <c:v>Orthopedics</c:v>
                </c:pt>
                <c:pt idx="6">
                  <c:v>General Practice</c:v>
                </c:pt>
                <c:pt idx="7">
                  <c:v>None</c:v>
                </c:pt>
              </c:strCache>
            </c:strRef>
          </c:cat>
          <c:val>
            <c:numRef>
              <c:f>'Pivot Report'!$B$87:$B$95</c:f>
              <c:numCache>
                <c:formatCode>0</c:formatCode>
                <c:ptCount val="8"/>
                <c:pt idx="0">
                  <c:v>3</c:v>
                </c:pt>
                <c:pt idx="1">
                  <c:v>5</c:v>
                </c:pt>
                <c:pt idx="2">
                  <c:v>6</c:v>
                </c:pt>
                <c:pt idx="3">
                  <c:v>14</c:v>
                </c:pt>
                <c:pt idx="4">
                  <c:v>15</c:v>
                </c:pt>
                <c:pt idx="5">
                  <c:v>59</c:v>
                </c:pt>
                <c:pt idx="6">
                  <c:v>93</c:v>
                </c:pt>
                <c:pt idx="7">
                  <c:v>311</c:v>
                </c:pt>
              </c:numCache>
            </c:numRef>
          </c:val>
          <c:extLst>
            <c:ext xmlns:c16="http://schemas.microsoft.com/office/drawing/2014/chart" uri="{C3380CC4-5D6E-409C-BE32-E72D297353CC}">
              <c16:uniqueId val="{00000004-320C-4E42-9022-58B501A4F543}"/>
            </c:ext>
          </c:extLst>
        </c:ser>
        <c:dLbls>
          <c:showLegendKey val="0"/>
          <c:showVal val="0"/>
          <c:showCatName val="0"/>
          <c:showSerName val="0"/>
          <c:showPercent val="0"/>
          <c:showBubbleSize val="0"/>
        </c:dLbls>
        <c:gapWidth val="35"/>
        <c:axId val="800049583"/>
        <c:axId val="800035183"/>
      </c:barChart>
      <c:catAx>
        <c:axId val="80004958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n-US"/>
          </a:p>
        </c:txPr>
        <c:crossAx val="800035183"/>
        <c:crosses val="autoZero"/>
        <c:auto val="1"/>
        <c:lblAlgn val="ctr"/>
        <c:lblOffset val="100"/>
        <c:noMultiLvlLbl val="0"/>
      </c:catAx>
      <c:valAx>
        <c:axId val="800035183"/>
        <c:scaling>
          <c:orientation val="minMax"/>
        </c:scaling>
        <c:delete val="1"/>
        <c:axPos val="b"/>
        <c:numFmt formatCode="0" sourceLinked="1"/>
        <c:majorTickMark val="none"/>
        <c:minorTickMark val="none"/>
        <c:tickLblPos val="nextTo"/>
        <c:crossAx val="8000495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[Hospital_Emergency_Dashboard.xlsm]Pivot Report!PivotTable4</c:name>
    <c:fmtId val="6"/>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5006596527380186E-2"/>
          <c:y val="5.0701418006516057E-2"/>
          <c:w val="0.92005448944465429"/>
          <c:h val="0.72287156572293787"/>
        </c:manualLayout>
      </c:layout>
      <c:areaChart>
        <c:grouping val="standard"/>
        <c:varyColors val="0"/>
        <c:ser>
          <c:idx val="0"/>
          <c:order val="0"/>
          <c:tx>
            <c:strRef>
              <c:f>'Pivot Report'!$F$6</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Report'!$E$7:$E$38</c:f>
              <c:strCache>
                <c:ptCount val="31"/>
                <c:pt idx="0">
                  <c:v>1-Mar</c:v>
                </c:pt>
                <c:pt idx="1">
                  <c:v>2-Mar</c:v>
                </c:pt>
                <c:pt idx="2">
                  <c:v>3-Mar</c:v>
                </c:pt>
                <c:pt idx="3">
                  <c:v>4-Mar</c:v>
                </c:pt>
                <c:pt idx="4">
                  <c:v>5-Mar</c:v>
                </c:pt>
                <c:pt idx="5">
                  <c:v>6-Mar</c:v>
                </c:pt>
                <c:pt idx="6">
                  <c:v>7-Mar</c:v>
                </c:pt>
                <c:pt idx="7">
                  <c:v>8-Mar</c:v>
                </c:pt>
                <c:pt idx="8">
                  <c:v>9-Mar</c:v>
                </c:pt>
                <c:pt idx="9">
                  <c:v>10-Mar</c:v>
                </c:pt>
                <c:pt idx="10">
                  <c:v>11-Mar</c:v>
                </c:pt>
                <c:pt idx="11">
                  <c:v>12-Mar</c:v>
                </c:pt>
                <c:pt idx="12">
                  <c:v>13-Mar</c:v>
                </c:pt>
                <c:pt idx="13">
                  <c:v>14-Mar</c:v>
                </c:pt>
                <c:pt idx="14">
                  <c:v>15-Mar</c:v>
                </c:pt>
                <c:pt idx="15">
                  <c:v>16-Mar</c:v>
                </c:pt>
                <c:pt idx="16">
                  <c:v>17-Mar</c:v>
                </c:pt>
                <c:pt idx="17">
                  <c:v>18-Mar</c:v>
                </c:pt>
                <c:pt idx="18">
                  <c:v>19-Mar</c:v>
                </c:pt>
                <c:pt idx="19">
                  <c:v>20-Mar</c:v>
                </c:pt>
                <c:pt idx="20">
                  <c:v>21-Mar</c:v>
                </c:pt>
                <c:pt idx="21">
                  <c:v>22-Mar</c:v>
                </c:pt>
                <c:pt idx="22">
                  <c:v>23-Mar</c:v>
                </c:pt>
                <c:pt idx="23">
                  <c:v>24-Mar</c:v>
                </c:pt>
                <c:pt idx="24">
                  <c:v>25-Mar</c:v>
                </c:pt>
                <c:pt idx="25">
                  <c:v>26-Mar</c:v>
                </c:pt>
                <c:pt idx="26">
                  <c:v>27-Mar</c:v>
                </c:pt>
                <c:pt idx="27">
                  <c:v>28-Mar</c:v>
                </c:pt>
                <c:pt idx="28">
                  <c:v>29-Mar</c:v>
                </c:pt>
                <c:pt idx="29">
                  <c:v>30-Mar</c:v>
                </c:pt>
                <c:pt idx="30">
                  <c:v>31-Mar</c:v>
                </c:pt>
              </c:strCache>
            </c:strRef>
          </c:cat>
          <c:val>
            <c:numRef>
              <c:f>'Pivot Report'!$F$7:$F$38</c:f>
              <c:numCache>
                <c:formatCode>General</c:formatCode>
                <c:ptCount val="31"/>
                <c:pt idx="0">
                  <c:v>19</c:v>
                </c:pt>
                <c:pt idx="1">
                  <c:v>24</c:v>
                </c:pt>
                <c:pt idx="2">
                  <c:v>24</c:v>
                </c:pt>
                <c:pt idx="3">
                  <c:v>14</c:v>
                </c:pt>
                <c:pt idx="4">
                  <c:v>14</c:v>
                </c:pt>
                <c:pt idx="5">
                  <c:v>16</c:v>
                </c:pt>
                <c:pt idx="6">
                  <c:v>26</c:v>
                </c:pt>
                <c:pt idx="7">
                  <c:v>14</c:v>
                </c:pt>
                <c:pt idx="8">
                  <c:v>22</c:v>
                </c:pt>
                <c:pt idx="9">
                  <c:v>18</c:v>
                </c:pt>
                <c:pt idx="10">
                  <c:v>20</c:v>
                </c:pt>
                <c:pt idx="11">
                  <c:v>13</c:v>
                </c:pt>
                <c:pt idx="12">
                  <c:v>13</c:v>
                </c:pt>
                <c:pt idx="13">
                  <c:v>14</c:v>
                </c:pt>
                <c:pt idx="14">
                  <c:v>13</c:v>
                </c:pt>
                <c:pt idx="15">
                  <c:v>18</c:v>
                </c:pt>
                <c:pt idx="16">
                  <c:v>12</c:v>
                </c:pt>
                <c:pt idx="17">
                  <c:v>11</c:v>
                </c:pt>
                <c:pt idx="18">
                  <c:v>14</c:v>
                </c:pt>
                <c:pt idx="19">
                  <c:v>12</c:v>
                </c:pt>
                <c:pt idx="20">
                  <c:v>16</c:v>
                </c:pt>
                <c:pt idx="21">
                  <c:v>16</c:v>
                </c:pt>
                <c:pt idx="22">
                  <c:v>15</c:v>
                </c:pt>
                <c:pt idx="23">
                  <c:v>22</c:v>
                </c:pt>
                <c:pt idx="24">
                  <c:v>18</c:v>
                </c:pt>
                <c:pt idx="25">
                  <c:v>10</c:v>
                </c:pt>
                <c:pt idx="26">
                  <c:v>17</c:v>
                </c:pt>
                <c:pt idx="27">
                  <c:v>17</c:v>
                </c:pt>
                <c:pt idx="28">
                  <c:v>12</c:v>
                </c:pt>
                <c:pt idx="29">
                  <c:v>14</c:v>
                </c:pt>
                <c:pt idx="30">
                  <c:v>18</c:v>
                </c:pt>
              </c:numCache>
            </c:numRef>
          </c:val>
          <c:extLst>
            <c:ext xmlns:c16="http://schemas.microsoft.com/office/drawing/2014/chart" uri="{C3380CC4-5D6E-409C-BE32-E72D297353CC}">
              <c16:uniqueId val="{00000003-31BC-4316-89A2-8FD6911066B3}"/>
            </c:ext>
          </c:extLst>
        </c:ser>
        <c:dLbls>
          <c:showLegendKey val="0"/>
          <c:showVal val="1"/>
          <c:showCatName val="0"/>
          <c:showSerName val="0"/>
          <c:showPercent val="0"/>
          <c:showBubbleSize val="0"/>
        </c:dLbls>
        <c:axId val="680386751"/>
        <c:axId val="680385311"/>
      </c:areaChart>
      <c:catAx>
        <c:axId val="680386751"/>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680385311"/>
        <c:crosses val="autoZero"/>
        <c:auto val="1"/>
        <c:lblAlgn val="ctr"/>
        <c:lblOffset val="100"/>
        <c:noMultiLvlLbl val="0"/>
      </c:catAx>
      <c:valAx>
        <c:axId val="680385311"/>
        <c:scaling>
          <c:orientation val="minMax"/>
        </c:scaling>
        <c:delete val="1"/>
        <c:axPos val="l"/>
        <c:numFmt formatCode="General" sourceLinked="1"/>
        <c:majorTickMark val="out"/>
        <c:minorTickMark val="none"/>
        <c:tickLblPos val="nextTo"/>
        <c:crossAx val="680386751"/>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[Hospital_Emergency_Dashboard.xlsm]Pivot Report!PivotTable6</c:name>
    <c:fmtId val="13"/>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
          <c:w val="0.99999999999999989"/>
          <c:h val="1"/>
        </c:manualLayout>
      </c:layout>
      <c:areaChart>
        <c:grouping val="standard"/>
        <c:varyColors val="0"/>
        <c:ser>
          <c:idx val="0"/>
          <c:order val="0"/>
          <c:tx>
            <c:strRef>
              <c:f>'Pivot Report'!$J$6</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Report'!$I$7:$I$38</c:f>
              <c:strCache>
                <c:ptCount val="31"/>
                <c:pt idx="0">
                  <c:v>1-Mar</c:v>
                </c:pt>
                <c:pt idx="1">
                  <c:v>2-Mar</c:v>
                </c:pt>
                <c:pt idx="2">
                  <c:v>3-Mar</c:v>
                </c:pt>
                <c:pt idx="3">
                  <c:v>4-Mar</c:v>
                </c:pt>
                <c:pt idx="4">
                  <c:v>5-Mar</c:v>
                </c:pt>
                <c:pt idx="5">
                  <c:v>6-Mar</c:v>
                </c:pt>
                <c:pt idx="6">
                  <c:v>7-Mar</c:v>
                </c:pt>
                <c:pt idx="7">
                  <c:v>8-Mar</c:v>
                </c:pt>
                <c:pt idx="8">
                  <c:v>9-Mar</c:v>
                </c:pt>
                <c:pt idx="9">
                  <c:v>10-Mar</c:v>
                </c:pt>
                <c:pt idx="10">
                  <c:v>11-Mar</c:v>
                </c:pt>
                <c:pt idx="11">
                  <c:v>12-Mar</c:v>
                </c:pt>
                <c:pt idx="12">
                  <c:v>13-Mar</c:v>
                </c:pt>
                <c:pt idx="13">
                  <c:v>14-Mar</c:v>
                </c:pt>
                <c:pt idx="14">
                  <c:v>15-Mar</c:v>
                </c:pt>
                <c:pt idx="15">
                  <c:v>16-Mar</c:v>
                </c:pt>
                <c:pt idx="16">
                  <c:v>17-Mar</c:v>
                </c:pt>
                <c:pt idx="17">
                  <c:v>18-Mar</c:v>
                </c:pt>
                <c:pt idx="18">
                  <c:v>19-Mar</c:v>
                </c:pt>
                <c:pt idx="19">
                  <c:v>20-Mar</c:v>
                </c:pt>
                <c:pt idx="20">
                  <c:v>21-Mar</c:v>
                </c:pt>
                <c:pt idx="21">
                  <c:v>22-Mar</c:v>
                </c:pt>
                <c:pt idx="22">
                  <c:v>23-Mar</c:v>
                </c:pt>
                <c:pt idx="23">
                  <c:v>24-Mar</c:v>
                </c:pt>
                <c:pt idx="24">
                  <c:v>25-Mar</c:v>
                </c:pt>
                <c:pt idx="25">
                  <c:v>26-Mar</c:v>
                </c:pt>
                <c:pt idx="26">
                  <c:v>27-Mar</c:v>
                </c:pt>
                <c:pt idx="27">
                  <c:v>28-Mar</c:v>
                </c:pt>
                <c:pt idx="28">
                  <c:v>29-Mar</c:v>
                </c:pt>
                <c:pt idx="29">
                  <c:v>30-Mar</c:v>
                </c:pt>
                <c:pt idx="30">
                  <c:v>31-Mar</c:v>
                </c:pt>
              </c:strCache>
            </c:strRef>
          </c:cat>
          <c:val>
            <c:numRef>
              <c:f>'Pivot Report'!$J$7:$J$38</c:f>
              <c:numCache>
                <c:formatCode>0.00</c:formatCode>
                <c:ptCount val="31"/>
                <c:pt idx="0">
                  <c:v>34.526315789473685</c:v>
                </c:pt>
                <c:pt idx="1">
                  <c:v>33.708333333333336</c:v>
                </c:pt>
                <c:pt idx="2">
                  <c:v>36.291666666666664</c:v>
                </c:pt>
                <c:pt idx="3">
                  <c:v>35.071428571428569</c:v>
                </c:pt>
                <c:pt idx="4">
                  <c:v>31.571428571428573</c:v>
                </c:pt>
                <c:pt idx="5">
                  <c:v>31.8125</c:v>
                </c:pt>
                <c:pt idx="6">
                  <c:v>36.846153846153847</c:v>
                </c:pt>
                <c:pt idx="7">
                  <c:v>34.071428571428569</c:v>
                </c:pt>
                <c:pt idx="8">
                  <c:v>33</c:v>
                </c:pt>
                <c:pt idx="9">
                  <c:v>40.222222222222221</c:v>
                </c:pt>
                <c:pt idx="10">
                  <c:v>42.05</c:v>
                </c:pt>
                <c:pt idx="11">
                  <c:v>42.615384615384613</c:v>
                </c:pt>
                <c:pt idx="12">
                  <c:v>40.46153846153846</c:v>
                </c:pt>
                <c:pt idx="13">
                  <c:v>34.071428571428569</c:v>
                </c:pt>
                <c:pt idx="14">
                  <c:v>33.92307692307692</c:v>
                </c:pt>
                <c:pt idx="15">
                  <c:v>43.166666666666664</c:v>
                </c:pt>
                <c:pt idx="16">
                  <c:v>42.25</c:v>
                </c:pt>
                <c:pt idx="17">
                  <c:v>44.090909090909093</c:v>
                </c:pt>
                <c:pt idx="18">
                  <c:v>39</c:v>
                </c:pt>
                <c:pt idx="19">
                  <c:v>31.25</c:v>
                </c:pt>
                <c:pt idx="20">
                  <c:v>28.5</c:v>
                </c:pt>
                <c:pt idx="21">
                  <c:v>34.0625</c:v>
                </c:pt>
                <c:pt idx="22">
                  <c:v>25.2</c:v>
                </c:pt>
                <c:pt idx="23">
                  <c:v>35.863636363636367</c:v>
                </c:pt>
                <c:pt idx="24">
                  <c:v>39.833333333333336</c:v>
                </c:pt>
                <c:pt idx="25">
                  <c:v>37</c:v>
                </c:pt>
                <c:pt idx="26">
                  <c:v>39.411764705882355</c:v>
                </c:pt>
                <c:pt idx="27">
                  <c:v>30.294117647058822</c:v>
                </c:pt>
                <c:pt idx="28">
                  <c:v>32.666666666666664</c:v>
                </c:pt>
                <c:pt idx="29">
                  <c:v>30.571428571428573</c:v>
                </c:pt>
                <c:pt idx="30">
                  <c:v>39.055555555555557</c:v>
                </c:pt>
              </c:numCache>
            </c:numRef>
          </c:val>
          <c:extLst>
            <c:ext xmlns:c16="http://schemas.microsoft.com/office/drawing/2014/chart" uri="{C3380CC4-5D6E-409C-BE32-E72D297353CC}">
              <c16:uniqueId val="{00000003-DD91-4845-89B3-2E77E1A1E3D5}"/>
            </c:ext>
          </c:extLst>
        </c:ser>
        <c:dLbls>
          <c:showLegendKey val="0"/>
          <c:showVal val="1"/>
          <c:showCatName val="0"/>
          <c:showSerName val="0"/>
          <c:showPercent val="0"/>
          <c:showBubbleSize val="0"/>
        </c:dLbls>
        <c:axId val="1893240655"/>
        <c:axId val="1893241135"/>
      </c:areaChart>
      <c:catAx>
        <c:axId val="1893240655"/>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893241135"/>
        <c:crosses val="autoZero"/>
        <c:auto val="1"/>
        <c:lblAlgn val="ctr"/>
        <c:lblOffset val="100"/>
        <c:noMultiLvlLbl val="0"/>
      </c:catAx>
      <c:valAx>
        <c:axId val="1893241135"/>
        <c:scaling>
          <c:orientation val="minMax"/>
        </c:scaling>
        <c:delete val="1"/>
        <c:axPos val="l"/>
        <c:numFmt formatCode="0.00" sourceLinked="1"/>
        <c:majorTickMark val="out"/>
        <c:minorTickMark val="none"/>
        <c:tickLblPos val="nextTo"/>
        <c:crossAx val="1893240655"/>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[Hospital_Emergency_Dashboard.xlsm]Pivot Report!PivotTable7</c:name>
    <c:fmtId val="23"/>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7777777777777779E-3"/>
          <c:y val="4.6296296296296294E-3"/>
          <c:w val="0.99722222222222223"/>
          <c:h val="0.99537037037037035"/>
        </c:manualLayout>
      </c:layout>
      <c:areaChart>
        <c:grouping val="standard"/>
        <c:varyColors val="0"/>
        <c:ser>
          <c:idx val="0"/>
          <c:order val="0"/>
          <c:tx>
            <c:strRef>
              <c:f>'Pivot Report'!$N$6</c:f>
              <c:strCache>
                <c:ptCount val="1"/>
                <c:pt idx="0">
                  <c:v>Total</c:v>
                </c:pt>
              </c:strCache>
            </c:strRef>
          </c:tx>
          <c:spPr>
            <a:gradFill>
              <a:gsLst>
                <a:gs pos="0">
                  <a:schemeClr val="lt1">
                    <a:alpha val="50000"/>
                  </a:schemeClr>
                </a:gs>
                <a:gs pos="100000">
                  <a:schemeClr val="lt1">
                    <a:alpha val="0"/>
                  </a:schemeClr>
                </a:gs>
              </a:gsLst>
              <a:lin ang="5400000" scaled="0"/>
            </a:gradFill>
            <a:ln>
              <a:solidFill>
                <a:schemeClr val="accent1"/>
              </a:solidFill>
            </a:ln>
            <a:effectLst>
              <a:innerShdw dist="38100" dir="16200000">
                <a:schemeClr val="lt1"/>
              </a:innerShdw>
            </a:effectLst>
          </c:spP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Report'!$M$7:$M$38</c:f>
              <c:strCache>
                <c:ptCount val="31"/>
                <c:pt idx="0">
                  <c:v>1-Mar</c:v>
                </c:pt>
                <c:pt idx="1">
                  <c:v>2-Mar</c:v>
                </c:pt>
                <c:pt idx="2">
                  <c:v>3-Mar</c:v>
                </c:pt>
                <c:pt idx="3">
                  <c:v>4-Mar</c:v>
                </c:pt>
                <c:pt idx="4">
                  <c:v>5-Mar</c:v>
                </c:pt>
                <c:pt idx="5">
                  <c:v>6-Mar</c:v>
                </c:pt>
                <c:pt idx="6">
                  <c:v>7-Mar</c:v>
                </c:pt>
                <c:pt idx="7">
                  <c:v>8-Mar</c:v>
                </c:pt>
                <c:pt idx="8">
                  <c:v>9-Mar</c:v>
                </c:pt>
                <c:pt idx="9">
                  <c:v>10-Mar</c:v>
                </c:pt>
                <c:pt idx="10">
                  <c:v>11-Mar</c:v>
                </c:pt>
                <c:pt idx="11">
                  <c:v>12-Mar</c:v>
                </c:pt>
                <c:pt idx="12">
                  <c:v>13-Mar</c:v>
                </c:pt>
                <c:pt idx="13">
                  <c:v>14-Mar</c:v>
                </c:pt>
                <c:pt idx="14">
                  <c:v>15-Mar</c:v>
                </c:pt>
                <c:pt idx="15">
                  <c:v>16-Mar</c:v>
                </c:pt>
                <c:pt idx="16">
                  <c:v>17-Mar</c:v>
                </c:pt>
                <c:pt idx="17">
                  <c:v>18-Mar</c:v>
                </c:pt>
                <c:pt idx="18">
                  <c:v>19-Mar</c:v>
                </c:pt>
                <c:pt idx="19">
                  <c:v>20-Mar</c:v>
                </c:pt>
                <c:pt idx="20">
                  <c:v>21-Mar</c:v>
                </c:pt>
                <c:pt idx="21">
                  <c:v>22-Mar</c:v>
                </c:pt>
                <c:pt idx="22">
                  <c:v>23-Mar</c:v>
                </c:pt>
                <c:pt idx="23">
                  <c:v>24-Mar</c:v>
                </c:pt>
                <c:pt idx="24">
                  <c:v>25-Mar</c:v>
                </c:pt>
                <c:pt idx="25">
                  <c:v>26-Mar</c:v>
                </c:pt>
                <c:pt idx="26">
                  <c:v>27-Mar</c:v>
                </c:pt>
                <c:pt idx="27">
                  <c:v>28-Mar</c:v>
                </c:pt>
                <c:pt idx="28">
                  <c:v>29-Mar</c:v>
                </c:pt>
                <c:pt idx="29">
                  <c:v>30-Mar</c:v>
                </c:pt>
                <c:pt idx="30">
                  <c:v>31-Mar</c:v>
                </c:pt>
              </c:strCache>
            </c:strRef>
          </c:cat>
          <c:val>
            <c:numRef>
              <c:f>'Pivot Report'!$N$7:$N$38</c:f>
              <c:numCache>
                <c:formatCode>0.00</c:formatCode>
                <c:ptCount val="31"/>
                <c:pt idx="0">
                  <c:v>7.2</c:v>
                </c:pt>
                <c:pt idx="1">
                  <c:v>6</c:v>
                </c:pt>
                <c:pt idx="2">
                  <c:v>1.5</c:v>
                </c:pt>
                <c:pt idx="3">
                  <c:v>2.75</c:v>
                </c:pt>
                <c:pt idx="4">
                  <c:v>5</c:v>
                </c:pt>
                <c:pt idx="5">
                  <c:v>5.5</c:v>
                </c:pt>
                <c:pt idx="6">
                  <c:v>5.0909090909090908</c:v>
                </c:pt>
                <c:pt idx="7">
                  <c:v>7.666666666666667</c:v>
                </c:pt>
                <c:pt idx="8">
                  <c:v>3.5</c:v>
                </c:pt>
                <c:pt idx="9">
                  <c:v>3.6666666666666665</c:v>
                </c:pt>
                <c:pt idx="10">
                  <c:v>3.8</c:v>
                </c:pt>
                <c:pt idx="11">
                  <c:v>1</c:v>
                </c:pt>
                <c:pt idx="12">
                  <c:v>7</c:v>
                </c:pt>
                <c:pt idx="13">
                  <c:v>5</c:v>
                </c:pt>
                <c:pt idx="14">
                  <c:v>4.25</c:v>
                </c:pt>
                <c:pt idx="15">
                  <c:v>4</c:v>
                </c:pt>
                <c:pt idx="16">
                  <c:v>7.333333333333333</c:v>
                </c:pt>
                <c:pt idx="17">
                  <c:v>9</c:v>
                </c:pt>
                <c:pt idx="18">
                  <c:v>5.25</c:v>
                </c:pt>
                <c:pt idx="19">
                  <c:v>6.6</c:v>
                </c:pt>
                <c:pt idx="20">
                  <c:v>6.25</c:v>
                </c:pt>
                <c:pt idx="21">
                  <c:v>6.333333333333333</c:v>
                </c:pt>
                <c:pt idx="22">
                  <c:v>7</c:v>
                </c:pt>
                <c:pt idx="23">
                  <c:v>5.666666666666667</c:v>
                </c:pt>
                <c:pt idx="24">
                  <c:v>3.3333333333333335</c:v>
                </c:pt>
                <c:pt idx="25">
                  <c:v>4.75</c:v>
                </c:pt>
                <c:pt idx="26">
                  <c:v>2</c:v>
                </c:pt>
                <c:pt idx="27">
                  <c:v>9.25</c:v>
                </c:pt>
                <c:pt idx="28">
                  <c:v>2.6666666666666665</c:v>
                </c:pt>
                <c:pt idx="29">
                  <c:v>4</c:v>
                </c:pt>
                <c:pt idx="30">
                  <c:v>8.75</c:v>
                </c:pt>
              </c:numCache>
            </c:numRef>
          </c:val>
          <c:extLst>
            <c:ext xmlns:c16="http://schemas.microsoft.com/office/drawing/2014/chart" uri="{C3380CC4-5D6E-409C-BE32-E72D297353CC}">
              <c16:uniqueId val="{00000003-6145-4670-90D3-33C3C677AC92}"/>
            </c:ext>
          </c:extLst>
        </c:ser>
        <c:dLbls>
          <c:showLegendKey val="0"/>
          <c:showVal val="1"/>
          <c:showCatName val="0"/>
          <c:showSerName val="0"/>
          <c:showPercent val="0"/>
          <c:showBubbleSize val="0"/>
        </c:dLbls>
        <c:axId val="937419007"/>
        <c:axId val="937430047"/>
      </c:areaChart>
      <c:catAx>
        <c:axId val="937419007"/>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937430047"/>
        <c:crosses val="autoZero"/>
        <c:auto val="1"/>
        <c:lblAlgn val="ctr"/>
        <c:lblOffset val="100"/>
        <c:noMultiLvlLbl val="0"/>
      </c:catAx>
      <c:valAx>
        <c:axId val="937430047"/>
        <c:scaling>
          <c:orientation val="minMax"/>
        </c:scaling>
        <c:delete val="1"/>
        <c:axPos val="l"/>
        <c:numFmt formatCode="0.00" sourceLinked="1"/>
        <c:majorTickMark val="out"/>
        <c:minorTickMark val="none"/>
        <c:tickLblPos val="nextTo"/>
        <c:crossAx val="937419007"/>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11.xml><?xml version="1.0" encoding="utf-8"?>
<cs:chartStyle xmlns:cs="http://schemas.microsoft.com/office/drawing/2012/chartStyle" xmlns:a="http://schemas.openxmlformats.org/drawingml/2006/main" id="285">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tx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
  <cs:dataPoint3D>
    <cs:lnRef idx="0">
      <cs:styleClr val="auto"/>
    </cs:lnRef>
    <cs:fillRef idx="0"/>
    <cs:effectRef idx="0"/>
    <cs:fontRef idx="minor">
      <a:schemeClr val="lt1"/>
    </cs:fontRef>
    <cs:spPr>
      <a:gradFill>
        <a:gsLst>
          <a:gs pos="0">
            <a:schemeClr val="lt1">
              <a:alpha val="50000"/>
            </a:schemeClr>
          </a:gs>
          <a:gs pos="100000">
            <a:schemeClr val="lt1">
              <a:alpha val="0"/>
            </a:schemeClr>
          </a:gs>
        </a:gsLst>
        <a:lin ang="5400000" scaled="0"/>
      </a:gradFill>
      <a:ln>
        <a:solidFill>
          <a:schemeClr val="phClr"/>
        </a:solidFill>
      </a:ln>
      <a:effectLst>
        <a:innerShdw dist="38100" dir="16200000">
          <a:schemeClr val="lt1"/>
        </a:innerShdw>
      </a:effectLst>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lt1"/>
    </cs:fontRef>
    <cs:spPr>
      <a:ln w="9525" cap="flat" cmpd="sng" algn="ctr">
        <a:gradFill>
          <a:gsLst>
            <a:gs pos="0">
              <a:schemeClr val="lt1"/>
            </a:gs>
            <a:gs pos="50000">
              <a:schemeClr val="lt1">
                <a:alpha val="0"/>
              </a:schemeClr>
            </a:gs>
          </a:gsLst>
          <a:lin ang="5400000" scaled="0"/>
        </a:gradFill>
        <a:round/>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lt1"/>
    </cs:fontRef>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hyperlink" Target="#'Daily ER No. of Patients'!A1"/><Relationship Id="rId13" Type="http://schemas.openxmlformats.org/officeDocument/2006/relationships/chart" Target="../charts/chart4.xml"/><Relationship Id="rId18" Type="http://schemas.openxmlformats.org/officeDocument/2006/relationships/chart" Target="../charts/chart8.xml"/><Relationship Id="rId3" Type="http://schemas.openxmlformats.org/officeDocument/2006/relationships/image" Target="../media/image3.svg"/><Relationship Id="rId7" Type="http://schemas.openxmlformats.org/officeDocument/2006/relationships/image" Target="../media/image7.svg"/><Relationship Id="rId12" Type="http://schemas.openxmlformats.org/officeDocument/2006/relationships/hyperlink" Target="#'Satisfaction score daily trend'!A1"/><Relationship Id="rId17" Type="http://schemas.openxmlformats.org/officeDocument/2006/relationships/chart" Target="../charts/chart7.xml"/><Relationship Id="rId2" Type="http://schemas.openxmlformats.org/officeDocument/2006/relationships/image" Target="../media/image2.png"/><Relationship Id="rId16" Type="http://schemas.openxmlformats.org/officeDocument/2006/relationships/chart" Target="../charts/chart6.xml"/><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3.xml"/><Relationship Id="rId5" Type="http://schemas.openxmlformats.org/officeDocument/2006/relationships/image" Target="../media/image5.svg"/><Relationship Id="rId15" Type="http://schemas.openxmlformats.org/officeDocument/2006/relationships/chart" Target="../charts/chart5.xml"/><Relationship Id="rId10" Type="http://schemas.openxmlformats.org/officeDocument/2006/relationships/hyperlink" Target="#'Average wait time daily trend'!A1"/><Relationship Id="rId4" Type="http://schemas.openxmlformats.org/officeDocument/2006/relationships/image" Target="../media/image4.png"/><Relationship Id="rId9" Type="http://schemas.openxmlformats.org/officeDocument/2006/relationships/chart" Target="../charts/chart2.xml"/><Relationship Id="rId14" Type="http://schemas.openxmlformats.org/officeDocument/2006/relationships/image" Target="../media/image8.emf"/></Relationships>
</file>

<file path=xl/drawings/_rels/drawing5.xml.rels><?xml version="1.0" encoding="UTF-8" standalone="yes"?>
<Relationships xmlns="http://schemas.openxmlformats.org/package/2006/relationships"><Relationship Id="rId1" Type="http://schemas.openxmlformats.org/officeDocument/2006/relationships/chart" Target="../charts/chart9.xml"/></Relationships>
</file>

<file path=xl/drawings/_rels/drawing6.xml.rels><?xml version="1.0" encoding="UTF-8" standalone="yes"?>
<Relationships xmlns="http://schemas.openxmlformats.org/package/2006/relationships"><Relationship Id="rId3" Type="http://schemas.openxmlformats.org/officeDocument/2006/relationships/image" Target="../media/image11.svg"/><Relationship Id="rId2" Type="http://schemas.openxmlformats.org/officeDocument/2006/relationships/image" Target="../media/image10.png"/><Relationship Id="rId1" Type="http://schemas.openxmlformats.org/officeDocument/2006/relationships/hyperlink" Target="#Dashboard!A1"/></Relationships>
</file>

<file path=xl/drawings/_rels/drawing7.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hyperlink" Target="#Dashboard!A1"/><Relationship Id="rId1" Type="http://schemas.openxmlformats.org/officeDocument/2006/relationships/chart" Target="../charts/chart10.xml"/><Relationship Id="rId4" Type="http://schemas.openxmlformats.org/officeDocument/2006/relationships/image" Target="../media/image11.svg"/></Relationships>
</file>

<file path=xl/drawings/_rels/drawing8.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3" Type="http://schemas.openxmlformats.org/officeDocument/2006/relationships/image" Target="../media/image11.svg"/><Relationship Id="rId2" Type="http://schemas.openxmlformats.org/officeDocument/2006/relationships/image" Target="../media/image10.png"/><Relationship Id="rId1" Type="http://schemas.openxmlformats.org/officeDocument/2006/relationships/hyperlink" Target="#Dashboard!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2</xdr:col>
      <xdr:colOff>1084880</xdr:colOff>
      <xdr:row>50</xdr:row>
      <xdr:rowOff>19371</xdr:rowOff>
    </xdr:from>
    <xdr:to>
      <xdr:col>3</xdr:col>
      <xdr:colOff>1336728</xdr:colOff>
      <xdr:row>51</xdr:row>
      <xdr:rowOff>103320</xdr:rowOff>
    </xdr:to>
    <xdr:graphicFrame macro="">
      <xdr:nvGraphicFramePr>
        <xdr:cNvPr id="5" name="Chart 4">
          <a:extLst>
            <a:ext uri="{FF2B5EF4-FFF2-40B4-BE49-F238E27FC236}">
              <a16:creationId xmlns:a16="http://schemas.microsoft.com/office/drawing/2014/main" id="{2A89585D-C1B4-1BD0-1C02-DD2D49695E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76201</xdr:colOff>
      <xdr:row>0</xdr:row>
      <xdr:rowOff>61913</xdr:rowOff>
    </xdr:from>
    <xdr:to>
      <xdr:col>4</xdr:col>
      <xdr:colOff>542720</xdr:colOff>
      <xdr:row>2</xdr:row>
      <xdr:rowOff>133350</xdr:rowOff>
    </xdr:to>
    <xdr:sp macro="" textlink="">
      <xdr:nvSpPr>
        <xdr:cNvPr id="2" name="Rectangle: Rounded Corners 1">
          <a:extLst>
            <a:ext uri="{FF2B5EF4-FFF2-40B4-BE49-F238E27FC236}">
              <a16:creationId xmlns:a16="http://schemas.microsoft.com/office/drawing/2014/main" id="{0AC0E454-C3E1-3C50-2887-3C97B75019B9}"/>
            </a:ext>
          </a:extLst>
        </xdr:cNvPr>
        <xdr:cNvSpPr/>
      </xdr:nvSpPr>
      <xdr:spPr>
        <a:xfrm>
          <a:off x="76201" y="61913"/>
          <a:ext cx="2900533" cy="433250"/>
        </a:xfrm>
        <a:prstGeom prst="roundRect">
          <a:avLst>
            <a:gd name="adj" fmla="val 12271"/>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5</xdr:col>
      <xdr:colOff>21928</xdr:colOff>
      <xdr:row>0</xdr:row>
      <xdr:rowOff>61913</xdr:rowOff>
    </xdr:from>
    <xdr:to>
      <xdr:col>6</xdr:col>
      <xdr:colOff>531755</xdr:colOff>
      <xdr:row>2</xdr:row>
      <xdr:rowOff>133350</xdr:rowOff>
    </xdr:to>
    <xdr:sp macro="" textlink="">
      <xdr:nvSpPr>
        <xdr:cNvPr id="3" name="Rectangle: Rounded Corners 2">
          <a:extLst>
            <a:ext uri="{FF2B5EF4-FFF2-40B4-BE49-F238E27FC236}">
              <a16:creationId xmlns:a16="http://schemas.microsoft.com/office/drawing/2014/main" id="{3A35F8EA-1ED9-E161-E3B2-E8A980120C67}"/>
            </a:ext>
          </a:extLst>
        </xdr:cNvPr>
        <xdr:cNvSpPr/>
      </xdr:nvSpPr>
      <xdr:spPr>
        <a:xfrm>
          <a:off x="3064446" y="61913"/>
          <a:ext cx="1118331" cy="433250"/>
        </a:xfrm>
        <a:prstGeom prst="roundRect">
          <a:avLst>
            <a:gd name="adj" fmla="val 12271"/>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7</xdr:col>
      <xdr:colOff>5482</xdr:colOff>
      <xdr:row>0</xdr:row>
      <xdr:rowOff>61913</xdr:rowOff>
    </xdr:from>
    <xdr:to>
      <xdr:col>9</xdr:col>
      <xdr:colOff>109641</xdr:colOff>
      <xdr:row>6</xdr:row>
      <xdr:rowOff>149311</xdr:rowOff>
    </xdr:to>
    <xdr:sp macro="" textlink="">
      <xdr:nvSpPr>
        <xdr:cNvPr id="4" name="Rectangle: Rounded Corners 3">
          <a:extLst>
            <a:ext uri="{FF2B5EF4-FFF2-40B4-BE49-F238E27FC236}">
              <a16:creationId xmlns:a16="http://schemas.microsoft.com/office/drawing/2014/main" id="{EF905CCD-CF7A-15C5-47D9-E788E187CBEE}"/>
            </a:ext>
          </a:extLst>
        </xdr:cNvPr>
        <xdr:cNvSpPr/>
      </xdr:nvSpPr>
      <xdr:spPr>
        <a:xfrm>
          <a:off x="4258737" y="61913"/>
          <a:ext cx="1319375" cy="1193045"/>
        </a:xfrm>
        <a:prstGeom prst="roundRect">
          <a:avLst>
            <a:gd name="adj" fmla="val 6961"/>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9</xdr:col>
      <xdr:colOff>202835</xdr:colOff>
      <xdr:row>0</xdr:row>
      <xdr:rowOff>61913</xdr:rowOff>
    </xdr:from>
    <xdr:to>
      <xdr:col>11</xdr:col>
      <xdr:colOff>372777</xdr:colOff>
      <xdr:row>6</xdr:row>
      <xdr:rowOff>149311</xdr:rowOff>
    </xdr:to>
    <xdr:sp macro="" textlink="">
      <xdr:nvSpPr>
        <xdr:cNvPr id="5" name="Rectangle: Rounded Corners 4">
          <a:extLst>
            <a:ext uri="{FF2B5EF4-FFF2-40B4-BE49-F238E27FC236}">
              <a16:creationId xmlns:a16="http://schemas.microsoft.com/office/drawing/2014/main" id="{35A4670A-F753-9C04-12A9-1CCD8A23693A}"/>
            </a:ext>
          </a:extLst>
        </xdr:cNvPr>
        <xdr:cNvSpPr/>
      </xdr:nvSpPr>
      <xdr:spPr>
        <a:xfrm>
          <a:off x="5679367" y="61913"/>
          <a:ext cx="1386950" cy="1172837"/>
        </a:xfrm>
        <a:prstGeom prst="roundRect">
          <a:avLst>
            <a:gd name="adj" fmla="val 6961"/>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0</xdr:col>
      <xdr:colOff>76201</xdr:colOff>
      <xdr:row>3</xdr:row>
      <xdr:rowOff>18056</xdr:rowOff>
    </xdr:from>
    <xdr:to>
      <xdr:col>1</xdr:col>
      <xdr:colOff>137050</xdr:colOff>
      <xdr:row>15</xdr:row>
      <xdr:rowOff>142531</xdr:rowOff>
    </xdr:to>
    <xdr:sp macro="" textlink="">
      <xdr:nvSpPr>
        <xdr:cNvPr id="6" name="Rectangle: Rounded Corners 5">
          <a:extLst>
            <a:ext uri="{FF2B5EF4-FFF2-40B4-BE49-F238E27FC236}">
              <a16:creationId xmlns:a16="http://schemas.microsoft.com/office/drawing/2014/main" id="{39125FDE-EC20-A8A0-F327-895C51716CA1}"/>
            </a:ext>
          </a:extLst>
        </xdr:cNvPr>
        <xdr:cNvSpPr/>
      </xdr:nvSpPr>
      <xdr:spPr>
        <a:xfrm>
          <a:off x="76201" y="560775"/>
          <a:ext cx="669353" cy="2295353"/>
        </a:xfrm>
        <a:prstGeom prst="roundRect">
          <a:avLst>
            <a:gd name="adj" fmla="val 12271"/>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xdr:col>
      <xdr:colOff>218733</xdr:colOff>
      <xdr:row>3</xdr:row>
      <xdr:rowOff>18057</xdr:rowOff>
    </xdr:from>
    <xdr:to>
      <xdr:col>3</xdr:col>
      <xdr:colOff>37365</xdr:colOff>
      <xdr:row>6</xdr:row>
      <xdr:rowOff>137051</xdr:rowOff>
    </xdr:to>
    <xdr:sp macro="" textlink="">
      <xdr:nvSpPr>
        <xdr:cNvPr id="7" name="Rectangle: Rounded Corners 6">
          <a:extLst>
            <a:ext uri="{FF2B5EF4-FFF2-40B4-BE49-F238E27FC236}">
              <a16:creationId xmlns:a16="http://schemas.microsoft.com/office/drawing/2014/main" id="{CB1C38B8-EBD4-97BA-6CFD-F5F52A0D3702}"/>
            </a:ext>
          </a:extLst>
        </xdr:cNvPr>
        <xdr:cNvSpPr/>
      </xdr:nvSpPr>
      <xdr:spPr>
        <a:xfrm>
          <a:off x="828333" y="561754"/>
          <a:ext cx="1037832" cy="662692"/>
        </a:xfrm>
        <a:prstGeom prst="roundRect">
          <a:avLst>
            <a:gd name="adj" fmla="val 12271"/>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3</xdr:col>
      <xdr:colOff>109542</xdr:colOff>
      <xdr:row>3</xdr:row>
      <xdr:rowOff>18057</xdr:rowOff>
    </xdr:from>
    <xdr:to>
      <xdr:col>4</xdr:col>
      <xdr:colOff>536678</xdr:colOff>
      <xdr:row>6</xdr:row>
      <xdr:rowOff>137051</xdr:rowOff>
    </xdr:to>
    <xdr:sp macro="" textlink="">
      <xdr:nvSpPr>
        <xdr:cNvPr id="8" name="Rectangle: Rounded Corners 7">
          <a:extLst>
            <a:ext uri="{FF2B5EF4-FFF2-40B4-BE49-F238E27FC236}">
              <a16:creationId xmlns:a16="http://schemas.microsoft.com/office/drawing/2014/main" id="{9E0C3CFD-9746-BF63-E8BB-42F9C4D1AA29}"/>
            </a:ext>
          </a:extLst>
        </xdr:cNvPr>
        <xdr:cNvSpPr/>
      </xdr:nvSpPr>
      <xdr:spPr>
        <a:xfrm>
          <a:off x="1935053" y="560776"/>
          <a:ext cx="1035639" cy="661714"/>
        </a:xfrm>
        <a:prstGeom prst="roundRect">
          <a:avLst>
            <a:gd name="adj" fmla="val 12271"/>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5</xdr:col>
      <xdr:colOff>5944</xdr:colOff>
      <xdr:row>3</xdr:row>
      <xdr:rowOff>12575</xdr:rowOff>
    </xdr:from>
    <xdr:to>
      <xdr:col>6</xdr:col>
      <xdr:colOff>526273</xdr:colOff>
      <xdr:row>6</xdr:row>
      <xdr:rowOff>131569</xdr:rowOff>
    </xdr:to>
    <xdr:sp macro="" textlink="">
      <xdr:nvSpPr>
        <xdr:cNvPr id="9" name="Rectangle: Rounded Corners 8">
          <a:extLst>
            <a:ext uri="{FF2B5EF4-FFF2-40B4-BE49-F238E27FC236}">
              <a16:creationId xmlns:a16="http://schemas.microsoft.com/office/drawing/2014/main" id="{2CF4F634-FDD5-8F1C-8AEC-6131609F07F5}"/>
            </a:ext>
          </a:extLst>
        </xdr:cNvPr>
        <xdr:cNvSpPr/>
      </xdr:nvSpPr>
      <xdr:spPr>
        <a:xfrm>
          <a:off x="3048462" y="555294"/>
          <a:ext cx="1128833" cy="661714"/>
        </a:xfrm>
        <a:prstGeom prst="roundRect">
          <a:avLst>
            <a:gd name="adj" fmla="val 12271"/>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xdr:col>
      <xdr:colOff>218733</xdr:colOff>
      <xdr:row>7</xdr:row>
      <xdr:rowOff>50949</xdr:rowOff>
    </xdr:from>
    <xdr:to>
      <xdr:col>6</xdr:col>
      <xdr:colOff>531755</xdr:colOff>
      <xdr:row>10</xdr:row>
      <xdr:rowOff>10964</xdr:rowOff>
    </xdr:to>
    <xdr:sp macro="" textlink="">
      <xdr:nvSpPr>
        <xdr:cNvPr id="14" name="Rectangle: Rounded Corners 13">
          <a:extLst>
            <a:ext uri="{FF2B5EF4-FFF2-40B4-BE49-F238E27FC236}">
              <a16:creationId xmlns:a16="http://schemas.microsoft.com/office/drawing/2014/main" id="{1653181D-1925-5EB9-BD42-0F9CBC05DE96}"/>
            </a:ext>
          </a:extLst>
        </xdr:cNvPr>
        <xdr:cNvSpPr/>
      </xdr:nvSpPr>
      <xdr:spPr>
        <a:xfrm>
          <a:off x="827237" y="1317294"/>
          <a:ext cx="3355540" cy="502735"/>
        </a:xfrm>
        <a:prstGeom prst="roundRect">
          <a:avLst>
            <a:gd name="adj" fmla="val 12271"/>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1</xdr:col>
      <xdr:colOff>218733</xdr:colOff>
      <xdr:row>10</xdr:row>
      <xdr:rowOff>89322</xdr:rowOff>
    </xdr:from>
    <xdr:to>
      <xdr:col>6</xdr:col>
      <xdr:colOff>520791</xdr:colOff>
      <xdr:row>15</xdr:row>
      <xdr:rowOff>137050</xdr:rowOff>
    </xdr:to>
    <xdr:sp macro="" textlink="">
      <xdr:nvSpPr>
        <xdr:cNvPr id="15" name="Rectangle: Rounded Corners 14">
          <a:extLst>
            <a:ext uri="{FF2B5EF4-FFF2-40B4-BE49-F238E27FC236}">
              <a16:creationId xmlns:a16="http://schemas.microsoft.com/office/drawing/2014/main" id="{71937213-2C9B-E718-C907-A1EA9D1B7DC2}"/>
            </a:ext>
          </a:extLst>
        </xdr:cNvPr>
        <xdr:cNvSpPr/>
      </xdr:nvSpPr>
      <xdr:spPr>
        <a:xfrm>
          <a:off x="827237" y="1898387"/>
          <a:ext cx="3344576" cy="952260"/>
        </a:xfrm>
        <a:prstGeom prst="roundRect">
          <a:avLst>
            <a:gd name="adj" fmla="val 12271"/>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7</xdr:col>
      <xdr:colOff>0</xdr:colOff>
      <xdr:row>7</xdr:row>
      <xdr:rowOff>50951</xdr:rowOff>
    </xdr:from>
    <xdr:to>
      <xdr:col>11</xdr:col>
      <xdr:colOff>372776</xdr:colOff>
      <xdr:row>15</xdr:row>
      <xdr:rowOff>137051</xdr:rowOff>
    </xdr:to>
    <xdr:sp macro="" textlink="">
      <xdr:nvSpPr>
        <xdr:cNvPr id="16" name="Rectangle: Rounded Corners 15">
          <a:extLst>
            <a:ext uri="{FF2B5EF4-FFF2-40B4-BE49-F238E27FC236}">
              <a16:creationId xmlns:a16="http://schemas.microsoft.com/office/drawing/2014/main" id="{E0AD8BF1-DE54-5851-333D-A695B05F83F7}"/>
            </a:ext>
          </a:extLst>
        </xdr:cNvPr>
        <xdr:cNvSpPr/>
      </xdr:nvSpPr>
      <xdr:spPr>
        <a:xfrm>
          <a:off x="4259525" y="1317296"/>
          <a:ext cx="2806791" cy="1533352"/>
        </a:xfrm>
        <a:prstGeom prst="roundRect">
          <a:avLst>
            <a:gd name="adj" fmla="val 6961"/>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0</xdr:col>
      <xdr:colOff>515310</xdr:colOff>
      <xdr:row>0</xdr:row>
      <xdr:rowOff>104157</xdr:rowOff>
    </xdr:from>
    <xdr:to>
      <xdr:col>4</xdr:col>
      <xdr:colOff>526274</xdr:colOff>
      <xdr:row>1</xdr:row>
      <xdr:rowOff>109641</xdr:rowOff>
    </xdr:to>
    <xdr:sp macro="" textlink="">
      <xdr:nvSpPr>
        <xdr:cNvPr id="17" name="TextBox 16">
          <a:extLst>
            <a:ext uri="{FF2B5EF4-FFF2-40B4-BE49-F238E27FC236}">
              <a16:creationId xmlns:a16="http://schemas.microsoft.com/office/drawing/2014/main" id="{658C895E-19D1-1485-B488-BC7ABBA6DD4C}"/>
            </a:ext>
          </a:extLst>
        </xdr:cNvPr>
        <xdr:cNvSpPr txBox="1"/>
      </xdr:nvSpPr>
      <xdr:spPr>
        <a:xfrm>
          <a:off x="515310" y="104157"/>
          <a:ext cx="2444978" cy="1863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1200"/>
            <a:t>Hospital Emergency Room Dashboard</a:t>
          </a:r>
        </a:p>
      </xdr:txBody>
    </xdr:sp>
    <xdr:clientData/>
  </xdr:twoCellAnchor>
  <xdr:twoCellAnchor editAs="oneCell">
    <xdr:from>
      <xdr:col>0</xdr:col>
      <xdr:colOff>71266</xdr:colOff>
      <xdr:row>0</xdr:row>
      <xdr:rowOff>32206</xdr:rowOff>
    </xdr:from>
    <xdr:to>
      <xdr:col>1</xdr:col>
      <xdr:colOff>27410</xdr:colOff>
      <xdr:row>2</xdr:row>
      <xdr:rowOff>149112</xdr:rowOff>
    </xdr:to>
    <xdr:pic>
      <xdr:nvPicPr>
        <xdr:cNvPr id="19" name="Picture 18">
          <a:extLst>
            <a:ext uri="{FF2B5EF4-FFF2-40B4-BE49-F238E27FC236}">
              <a16:creationId xmlns:a16="http://schemas.microsoft.com/office/drawing/2014/main" id="{4D108477-8577-C0FE-A267-43B6854C94FF}"/>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6832" r="10891"/>
        <a:stretch>
          <a:fillRect/>
        </a:stretch>
      </xdr:blipFill>
      <xdr:spPr>
        <a:xfrm>
          <a:off x="71266" y="32206"/>
          <a:ext cx="564648" cy="478719"/>
        </a:xfrm>
        <a:prstGeom prst="rect">
          <a:avLst/>
        </a:prstGeom>
      </xdr:spPr>
    </xdr:pic>
    <xdr:clientData/>
  </xdr:twoCellAnchor>
  <xdr:twoCellAnchor editAs="absolute">
    <xdr:from>
      <xdr:col>1</xdr:col>
      <xdr:colOff>455007</xdr:colOff>
      <xdr:row>1</xdr:row>
      <xdr:rowOff>104157</xdr:rowOff>
    </xdr:from>
    <xdr:to>
      <xdr:col>3</xdr:col>
      <xdr:colOff>471453</xdr:colOff>
      <xdr:row>2</xdr:row>
      <xdr:rowOff>109640</xdr:rowOff>
    </xdr:to>
    <xdr:sp macro="" textlink="">
      <xdr:nvSpPr>
        <xdr:cNvPr id="22" name="TextBox 21">
          <a:extLst>
            <a:ext uri="{FF2B5EF4-FFF2-40B4-BE49-F238E27FC236}">
              <a16:creationId xmlns:a16="http://schemas.microsoft.com/office/drawing/2014/main" id="{087EFF2E-4FA5-7A67-8799-FE62641BCF97}"/>
            </a:ext>
          </a:extLst>
        </xdr:cNvPr>
        <xdr:cNvSpPr txBox="1"/>
      </xdr:nvSpPr>
      <xdr:spPr>
        <a:xfrm>
          <a:off x="1063511" y="285063"/>
          <a:ext cx="1233453" cy="1863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900"/>
            <a:t>Monthly</a:t>
          </a:r>
          <a:r>
            <a:rPr lang="en-IN" sz="900" baseline="0"/>
            <a:t> Report</a:t>
          </a:r>
          <a:endParaRPr lang="en-IN" sz="900"/>
        </a:p>
      </xdr:txBody>
    </xdr:sp>
    <xdr:clientData/>
  </xdr:twoCellAnchor>
  <xdr:twoCellAnchor editAs="absolute">
    <xdr:from>
      <xdr:col>1</xdr:col>
      <xdr:colOff>230245</xdr:colOff>
      <xdr:row>4</xdr:row>
      <xdr:rowOff>76746</xdr:rowOff>
    </xdr:from>
    <xdr:to>
      <xdr:col>3</xdr:col>
      <xdr:colOff>49338</xdr:colOff>
      <xdr:row>5</xdr:row>
      <xdr:rowOff>82230</xdr:rowOff>
    </xdr:to>
    <xdr:sp macro="" textlink="">
      <xdr:nvSpPr>
        <xdr:cNvPr id="24" name="TextBox 23">
          <a:extLst>
            <a:ext uri="{FF2B5EF4-FFF2-40B4-BE49-F238E27FC236}">
              <a16:creationId xmlns:a16="http://schemas.microsoft.com/office/drawing/2014/main" id="{9A8AD897-73E5-BF1E-5378-40F86E493F94}"/>
            </a:ext>
          </a:extLst>
        </xdr:cNvPr>
        <xdr:cNvSpPr txBox="1"/>
      </xdr:nvSpPr>
      <xdr:spPr>
        <a:xfrm>
          <a:off x="838749" y="800372"/>
          <a:ext cx="1036100" cy="1863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800"/>
            <a:t>No.</a:t>
          </a:r>
          <a:r>
            <a:rPr lang="en-IN" sz="800" baseline="0"/>
            <a:t> of Patients</a:t>
          </a:r>
          <a:endParaRPr lang="en-IN" sz="800"/>
        </a:p>
      </xdr:txBody>
    </xdr:sp>
    <xdr:clientData/>
  </xdr:twoCellAnchor>
  <xdr:twoCellAnchor editAs="absolute">
    <xdr:from>
      <xdr:col>1</xdr:col>
      <xdr:colOff>213799</xdr:colOff>
      <xdr:row>3</xdr:row>
      <xdr:rowOff>87710</xdr:rowOff>
    </xdr:from>
    <xdr:to>
      <xdr:col>3</xdr:col>
      <xdr:colOff>32892</xdr:colOff>
      <xdr:row>4</xdr:row>
      <xdr:rowOff>93193</xdr:rowOff>
    </xdr:to>
    <xdr:sp macro="" textlink="'Pivot Report'!A7">
      <xdr:nvSpPr>
        <xdr:cNvPr id="25" name="TextBox 24">
          <a:extLst>
            <a:ext uri="{FF2B5EF4-FFF2-40B4-BE49-F238E27FC236}">
              <a16:creationId xmlns:a16="http://schemas.microsoft.com/office/drawing/2014/main" id="{6E62BF96-1048-5355-F42F-9A2EDBAF8A9F}"/>
            </a:ext>
          </a:extLst>
        </xdr:cNvPr>
        <xdr:cNvSpPr txBox="1"/>
      </xdr:nvSpPr>
      <xdr:spPr>
        <a:xfrm>
          <a:off x="821190" y="634362"/>
          <a:ext cx="1033876" cy="187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69563022-80E9-4C17-9D76-E835FD75F33D}" type="TxLink">
            <a:rPr lang="en-US" sz="1100" b="0" i="0" u="none" strike="noStrike">
              <a:solidFill>
                <a:srgbClr val="000000"/>
              </a:solidFill>
              <a:latin typeface="Calibri"/>
              <a:ea typeface="Calibri"/>
              <a:cs typeface="Calibri"/>
            </a:rPr>
            <a:pPr algn="ctr"/>
            <a:t>506</a:t>
          </a:fld>
          <a:endParaRPr lang="en-US"/>
        </a:p>
      </xdr:txBody>
    </xdr:sp>
    <xdr:clientData/>
  </xdr:twoCellAnchor>
  <xdr:twoCellAnchor editAs="absolute">
    <xdr:from>
      <xdr:col>3</xdr:col>
      <xdr:colOff>104159</xdr:colOff>
      <xdr:row>4</xdr:row>
      <xdr:rowOff>76746</xdr:rowOff>
    </xdr:from>
    <xdr:to>
      <xdr:col>4</xdr:col>
      <xdr:colOff>531756</xdr:colOff>
      <xdr:row>5</xdr:row>
      <xdr:rowOff>82230</xdr:rowOff>
    </xdr:to>
    <xdr:sp macro="" textlink="">
      <xdr:nvSpPr>
        <xdr:cNvPr id="28" name="TextBox 27">
          <a:extLst>
            <a:ext uri="{FF2B5EF4-FFF2-40B4-BE49-F238E27FC236}">
              <a16:creationId xmlns:a16="http://schemas.microsoft.com/office/drawing/2014/main" id="{4969F393-B831-221D-C13A-DC0756CA3890}"/>
            </a:ext>
          </a:extLst>
        </xdr:cNvPr>
        <xdr:cNvSpPr txBox="1"/>
      </xdr:nvSpPr>
      <xdr:spPr>
        <a:xfrm>
          <a:off x="1929670" y="800372"/>
          <a:ext cx="1036100" cy="1863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800"/>
            <a:t>Average</a:t>
          </a:r>
          <a:r>
            <a:rPr lang="en-IN" sz="800" baseline="0"/>
            <a:t> Wait Time</a:t>
          </a:r>
          <a:endParaRPr lang="en-IN" sz="800"/>
        </a:p>
      </xdr:txBody>
    </xdr:sp>
    <xdr:clientData/>
  </xdr:twoCellAnchor>
  <xdr:twoCellAnchor editAs="absolute">
    <xdr:from>
      <xdr:col>3</xdr:col>
      <xdr:colOff>87713</xdr:colOff>
      <xdr:row>3</xdr:row>
      <xdr:rowOff>87710</xdr:rowOff>
    </xdr:from>
    <xdr:to>
      <xdr:col>4</xdr:col>
      <xdr:colOff>515310</xdr:colOff>
      <xdr:row>4</xdr:row>
      <xdr:rowOff>93193</xdr:rowOff>
    </xdr:to>
    <xdr:sp macro="" textlink="'Pivot Report'!A12">
      <xdr:nvSpPr>
        <xdr:cNvPr id="29" name="TextBox 28">
          <a:extLst>
            <a:ext uri="{FF2B5EF4-FFF2-40B4-BE49-F238E27FC236}">
              <a16:creationId xmlns:a16="http://schemas.microsoft.com/office/drawing/2014/main" id="{87C0556A-4A01-E11D-96EA-C38FB85AD91C}"/>
            </a:ext>
          </a:extLst>
        </xdr:cNvPr>
        <xdr:cNvSpPr txBox="1"/>
      </xdr:nvSpPr>
      <xdr:spPr>
        <a:xfrm>
          <a:off x="1916513" y="640160"/>
          <a:ext cx="1037197" cy="1896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670B180B-F3C1-43B2-9856-B32CC0DF5315}" type="TxLink">
            <a:rPr lang="en-US" sz="1100" b="0" i="0" u="none" strike="noStrike">
              <a:solidFill>
                <a:srgbClr val="000000"/>
              </a:solidFill>
              <a:latin typeface="Calibri"/>
              <a:ea typeface="Calibri"/>
              <a:cs typeface="Calibri"/>
            </a:rPr>
            <a:pPr algn="ctr"/>
            <a:t>35.88</a:t>
          </a:fld>
          <a:endParaRPr lang="en-US"/>
        </a:p>
      </xdr:txBody>
    </xdr:sp>
    <xdr:clientData/>
  </xdr:twoCellAnchor>
  <xdr:twoCellAnchor editAs="absolute">
    <xdr:from>
      <xdr:col>5</xdr:col>
      <xdr:colOff>43856</xdr:colOff>
      <xdr:row>4</xdr:row>
      <xdr:rowOff>76746</xdr:rowOff>
    </xdr:from>
    <xdr:to>
      <xdr:col>6</xdr:col>
      <xdr:colOff>487899</xdr:colOff>
      <xdr:row>5</xdr:row>
      <xdr:rowOff>82230</xdr:rowOff>
    </xdr:to>
    <xdr:sp macro="" textlink="">
      <xdr:nvSpPr>
        <xdr:cNvPr id="33" name="TextBox 32">
          <a:extLst>
            <a:ext uri="{FF2B5EF4-FFF2-40B4-BE49-F238E27FC236}">
              <a16:creationId xmlns:a16="http://schemas.microsoft.com/office/drawing/2014/main" id="{87AD0C4A-5A8D-A82D-AFC5-D5C3397B5007}"/>
            </a:ext>
          </a:extLst>
        </xdr:cNvPr>
        <xdr:cNvSpPr txBox="1"/>
      </xdr:nvSpPr>
      <xdr:spPr>
        <a:xfrm>
          <a:off x="3086374" y="800372"/>
          <a:ext cx="1052547" cy="1863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800"/>
            <a:t>Patient</a:t>
          </a:r>
          <a:r>
            <a:rPr lang="en-IN" sz="800" baseline="0"/>
            <a:t> Satisfaction Score</a:t>
          </a:r>
          <a:endParaRPr lang="en-IN" sz="800"/>
        </a:p>
      </xdr:txBody>
    </xdr:sp>
    <xdr:clientData/>
  </xdr:twoCellAnchor>
  <xdr:twoCellAnchor editAs="absolute">
    <xdr:from>
      <xdr:col>4</xdr:col>
      <xdr:colOff>592059</xdr:colOff>
      <xdr:row>3</xdr:row>
      <xdr:rowOff>87710</xdr:rowOff>
    </xdr:from>
    <xdr:to>
      <xdr:col>6</xdr:col>
      <xdr:colOff>411151</xdr:colOff>
      <xdr:row>4</xdr:row>
      <xdr:rowOff>93193</xdr:rowOff>
    </xdr:to>
    <xdr:sp macro="" textlink="'Pivot Report'!A16">
      <xdr:nvSpPr>
        <xdr:cNvPr id="34" name="TextBox 33">
          <a:extLst>
            <a:ext uri="{FF2B5EF4-FFF2-40B4-BE49-F238E27FC236}">
              <a16:creationId xmlns:a16="http://schemas.microsoft.com/office/drawing/2014/main" id="{033AFD90-2C1B-BDE7-24D4-E5EBB32782B3}"/>
            </a:ext>
          </a:extLst>
        </xdr:cNvPr>
        <xdr:cNvSpPr txBox="1"/>
      </xdr:nvSpPr>
      <xdr:spPr>
        <a:xfrm>
          <a:off x="3030459" y="640160"/>
          <a:ext cx="1038292" cy="1896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C9F05EED-8AB6-4A8B-ADC0-7974E310E502}" type="TxLink">
            <a:rPr lang="en-US" sz="1100" b="0" i="0" u="none" strike="noStrike">
              <a:solidFill>
                <a:srgbClr val="000000"/>
              </a:solidFill>
              <a:latin typeface="Calibri"/>
              <a:ea typeface="Calibri"/>
              <a:cs typeface="Calibri"/>
            </a:rPr>
            <a:pPr algn="ctr"/>
            <a:t>5.33</a:t>
          </a:fld>
          <a:endParaRPr lang="en-US"/>
        </a:p>
      </xdr:txBody>
    </xdr:sp>
    <xdr:clientData/>
  </xdr:twoCellAnchor>
  <xdr:twoCellAnchor editAs="oneCell">
    <xdr:from>
      <xdr:col>2</xdr:col>
      <xdr:colOff>368134</xdr:colOff>
      <xdr:row>3</xdr:row>
      <xdr:rowOff>57858</xdr:rowOff>
    </xdr:from>
    <xdr:to>
      <xdr:col>2</xdr:col>
      <xdr:colOff>574261</xdr:colOff>
      <xdr:row>4</xdr:row>
      <xdr:rowOff>84088</xdr:rowOff>
    </xdr:to>
    <xdr:pic>
      <xdr:nvPicPr>
        <xdr:cNvPr id="36" name="Graphic 35" descr="Male profile with solid fill">
          <a:extLst>
            <a:ext uri="{FF2B5EF4-FFF2-40B4-BE49-F238E27FC236}">
              <a16:creationId xmlns:a16="http://schemas.microsoft.com/office/drawing/2014/main" id="{271290AE-30A9-4592-DACB-5FA3C0333E86}"/>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582917" y="604510"/>
          <a:ext cx="206127" cy="208448"/>
        </a:xfrm>
        <a:prstGeom prst="rect">
          <a:avLst/>
        </a:prstGeom>
      </xdr:spPr>
    </xdr:pic>
    <xdr:clientData/>
  </xdr:twoCellAnchor>
  <xdr:twoCellAnchor editAs="oneCell">
    <xdr:from>
      <xdr:col>6</xdr:col>
      <xdr:colOff>227367</xdr:colOff>
      <xdr:row>3</xdr:row>
      <xdr:rowOff>65784</xdr:rowOff>
    </xdr:from>
    <xdr:to>
      <xdr:col>6</xdr:col>
      <xdr:colOff>438151</xdr:colOff>
      <xdr:row>4</xdr:row>
      <xdr:rowOff>95016</xdr:rowOff>
    </xdr:to>
    <xdr:pic>
      <xdr:nvPicPr>
        <xdr:cNvPr id="38" name="Graphic 37" descr="Customer review with solid fill">
          <a:extLst>
            <a:ext uri="{FF2B5EF4-FFF2-40B4-BE49-F238E27FC236}">
              <a16:creationId xmlns:a16="http://schemas.microsoft.com/office/drawing/2014/main" id="{A177E418-4662-0C61-0EEC-081A66419238}"/>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3884967" y="618234"/>
          <a:ext cx="210784" cy="213382"/>
        </a:xfrm>
        <a:prstGeom prst="rect">
          <a:avLst/>
        </a:prstGeom>
      </xdr:spPr>
    </xdr:pic>
    <xdr:clientData/>
  </xdr:twoCellAnchor>
  <xdr:twoCellAnchor editAs="oneCell">
    <xdr:from>
      <xdr:col>4</xdr:col>
      <xdr:colOff>270995</xdr:colOff>
      <xdr:row>3</xdr:row>
      <xdr:rowOff>84563</xdr:rowOff>
    </xdr:from>
    <xdr:to>
      <xdr:col>4</xdr:col>
      <xdr:colOff>438150</xdr:colOff>
      <xdr:row>4</xdr:row>
      <xdr:rowOff>69545</xdr:rowOff>
    </xdr:to>
    <xdr:pic>
      <xdr:nvPicPr>
        <xdr:cNvPr id="40" name="Graphic 39" descr="Hourglass Finished with solid fill">
          <a:extLst>
            <a:ext uri="{FF2B5EF4-FFF2-40B4-BE49-F238E27FC236}">
              <a16:creationId xmlns:a16="http://schemas.microsoft.com/office/drawing/2014/main" id="{DDA3118F-95E2-68A8-2EA2-1872C751E941}"/>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709395" y="637013"/>
          <a:ext cx="167155" cy="169132"/>
        </a:xfrm>
        <a:prstGeom prst="rect">
          <a:avLst/>
        </a:prstGeom>
      </xdr:spPr>
    </xdr:pic>
    <xdr:clientData/>
  </xdr:twoCellAnchor>
  <xdr:twoCellAnchor editAs="oneCell">
    <xdr:from>
      <xdr:col>0</xdr:col>
      <xdr:colOff>73082</xdr:colOff>
      <xdr:row>3</xdr:row>
      <xdr:rowOff>115079</xdr:rowOff>
    </xdr:from>
    <xdr:to>
      <xdr:col>1</xdr:col>
      <xdr:colOff>120317</xdr:colOff>
      <xdr:row>15</xdr:row>
      <xdr:rowOff>53473</xdr:rowOff>
    </xdr:to>
    <mc:AlternateContent xmlns:mc="http://schemas.openxmlformats.org/markup-compatibility/2006" xmlns:a14="http://schemas.microsoft.com/office/drawing/2010/main">
      <mc:Choice Requires="a14">
        <xdr:graphicFrame macro="">
          <xdr:nvGraphicFramePr>
            <xdr:cNvPr id="42" name="Date (Month)">
              <a:extLst>
                <a:ext uri="{FF2B5EF4-FFF2-40B4-BE49-F238E27FC236}">
                  <a16:creationId xmlns:a16="http://schemas.microsoft.com/office/drawing/2014/main" id="{A33D3328-FAA5-4E86-B631-8DDA1EABB74C}"/>
                </a:ext>
              </a:extLst>
            </xdr:cNvPr>
            <xdr:cNvGraphicFramePr/>
          </xdr:nvGraphicFramePr>
          <xdr:xfrm>
            <a:off x="0" y="0"/>
            <a:ext cx="0" cy="0"/>
          </xdr:xfrm>
          <a:graphic>
            <a:graphicData uri="http://schemas.microsoft.com/office/drawing/2010/slicer">
              <sle:slicer xmlns:sle="http://schemas.microsoft.com/office/drawing/2010/slicer" name="Date (Month)"/>
            </a:graphicData>
          </a:graphic>
        </xdr:graphicFrame>
      </mc:Choice>
      <mc:Fallback xmlns="">
        <xdr:sp macro="" textlink="">
          <xdr:nvSpPr>
            <xdr:cNvPr id="0" name=""/>
            <xdr:cNvSpPr>
              <a:spLocks noTextEdit="1"/>
            </xdr:cNvSpPr>
          </xdr:nvSpPr>
          <xdr:spPr>
            <a:xfrm>
              <a:off x="73082" y="661731"/>
              <a:ext cx="654626" cy="212500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238898</xdr:colOff>
      <xdr:row>4</xdr:row>
      <xdr:rowOff>165651</xdr:rowOff>
    </xdr:from>
    <xdr:to>
      <xdr:col>3</xdr:col>
      <xdr:colOff>28832</xdr:colOff>
      <xdr:row>6</xdr:row>
      <xdr:rowOff>135922</xdr:rowOff>
    </xdr:to>
    <xdr:graphicFrame macro="">
      <xdr:nvGraphicFramePr>
        <xdr:cNvPr id="44" name="Chart 43">
          <a:hlinkClick xmlns:r="http://schemas.openxmlformats.org/officeDocument/2006/relationships" r:id="rId8"/>
          <a:extLst>
            <a:ext uri="{FF2B5EF4-FFF2-40B4-BE49-F238E27FC236}">
              <a16:creationId xmlns:a16="http://schemas.microsoft.com/office/drawing/2014/main" id="{2C180EB2-C823-C684-BC5B-317B258F17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127000</xdr:colOff>
      <xdr:row>5</xdr:row>
      <xdr:rowOff>66261</xdr:rowOff>
    </xdr:from>
    <xdr:to>
      <xdr:col>4</xdr:col>
      <xdr:colOff>519043</xdr:colOff>
      <xdr:row>6</xdr:row>
      <xdr:rowOff>127000</xdr:rowOff>
    </xdr:to>
    <xdr:graphicFrame macro="">
      <xdr:nvGraphicFramePr>
        <xdr:cNvPr id="11" name="Chart 10">
          <a:hlinkClick xmlns:r="http://schemas.openxmlformats.org/officeDocument/2006/relationships" r:id="rId10"/>
          <a:extLst>
            <a:ext uri="{FF2B5EF4-FFF2-40B4-BE49-F238E27FC236}">
              <a16:creationId xmlns:a16="http://schemas.microsoft.com/office/drawing/2014/main" id="{A60A9A29-10CC-4F67-B7ED-EB96FF21A5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5</xdr:col>
      <xdr:colOff>22087</xdr:colOff>
      <xdr:row>5</xdr:row>
      <xdr:rowOff>82827</xdr:rowOff>
    </xdr:from>
    <xdr:to>
      <xdr:col>6</xdr:col>
      <xdr:colOff>502478</xdr:colOff>
      <xdr:row>6</xdr:row>
      <xdr:rowOff>121478</xdr:rowOff>
    </xdr:to>
    <xdr:graphicFrame macro="">
      <xdr:nvGraphicFramePr>
        <xdr:cNvPr id="12" name="Chart 11">
          <a:hlinkClick xmlns:r="http://schemas.openxmlformats.org/officeDocument/2006/relationships" r:id="rId12"/>
          <a:extLst>
            <a:ext uri="{FF2B5EF4-FFF2-40B4-BE49-F238E27FC236}">
              <a16:creationId xmlns:a16="http://schemas.microsoft.com/office/drawing/2014/main" id="{6D1C45F0-D9EE-4141-81E2-AD6D6C4928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214159</xdr:colOff>
          <xdr:row>7</xdr:row>
          <xdr:rowOff>34864</xdr:rowOff>
        </xdr:from>
        <xdr:to>
          <xdr:col>6</xdr:col>
          <xdr:colOff>537882</xdr:colOff>
          <xdr:row>10</xdr:row>
          <xdr:rowOff>9961</xdr:rowOff>
        </xdr:to>
        <xdr:pic>
          <xdr:nvPicPr>
            <xdr:cNvPr id="23" name="Picture 22">
              <a:extLst>
                <a:ext uri="{FF2B5EF4-FFF2-40B4-BE49-F238E27FC236}">
                  <a16:creationId xmlns:a16="http://schemas.microsoft.com/office/drawing/2014/main" id="{A3021344-6569-127A-7B34-80745BA97152}"/>
                </a:ext>
              </a:extLst>
            </xdr:cNvPr>
            <xdr:cNvPicPr>
              <a:picLocks noChangeAspect="1" noChangeArrowheads="1"/>
              <a:extLst>
                <a:ext uri="{84589F7E-364E-4C9E-8A38-B11213B215E9}">
                  <a14:cameraTool cellRange="'Pivot Report'!$A$50:$D$52" spid="_x0000_s1063"/>
                </a:ext>
              </a:extLst>
            </xdr:cNvPicPr>
          </xdr:nvPicPr>
          <xdr:blipFill>
            <a:blip xmlns:r="http://schemas.openxmlformats.org/officeDocument/2006/relationships" r:embed="rId14"/>
            <a:srcRect/>
            <a:stretch>
              <a:fillRect/>
            </a:stretch>
          </xdr:blipFill>
          <xdr:spPr bwMode="auto">
            <a:xfrm>
              <a:off x="821767" y="1324786"/>
              <a:ext cx="3361762" cy="527920"/>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contourClr>
                <a:srgbClr val="969696"/>
              </a:contourClr>
            </a:sp3d>
            <a:extLst>
              <a:ext uri="{909E8E84-426E-40DD-AFC4-6F175D3DCCD1}">
                <a14:hiddenFill>
                  <a:solidFill>
                    <a:srgbClr val="FFFFFF"/>
                  </a:solidFill>
                </a14:hiddenFill>
              </a:ext>
            </a:extLst>
          </xdr:spPr>
        </xdr:pic>
        <xdr:clientData/>
      </xdr:twoCellAnchor>
    </mc:Choice>
    <mc:Fallback/>
  </mc:AlternateContent>
  <xdr:twoCellAnchor>
    <xdr:from>
      <xdr:col>1</xdr:col>
      <xdr:colOff>150701</xdr:colOff>
      <xdr:row>10</xdr:row>
      <xdr:rowOff>84667</xdr:rowOff>
    </xdr:from>
    <xdr:to>
      <xdr:col>7</xdr:col>
      <xdr:colOff>14941</xdr:colOff>
      <xdr:row>15</xdr:row>
      <xdr:rowOff>59765</xdr:rowOff>
    </xdr:to>
    <xdr:graphicFrame macro="">
      <xdr:nvGraphicFramePr>
        <xdr:cNvPr id="26" name="Chart 25">
          <a:extLst>
            <a:ext uri="{FF2B5EF4-FFF2-40B4-BE49-F238E27FC236}">
              <a16:creationId xmlns:a16="http://schemas.microsoft.com/office/drawing/2014/main" id="{FCCF011C-14A4-4AE1-8FC7-CF9CD513E3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absolute">
    <xdr:from>
      <xdr:col>2</xdr:col>
      <xdr:colOff>488078</xdr:colOff>
      <xdr:row>14</xdr:row>
      <xdr:rowOff>169333</xdr:rowOff>
    </xdr:from>
    <xdr:to>
      <xdr:col>5</xdr:col>
      <xdr:colOff>74706</xdr:colOff>
      <xdr:row>15</xdr:row>
      <xdr:rowOff>174817</xdr:rowOff>
    </xdr:to>
    <xdr:sp macro="" textlink="">
      <xdr:nvSpPr>
        <xdr:cNvPr id="27" name="TextBox 26">
          <a:extLst>
            <a:ext uri="{FF2B5EF4-FFF2-40B4-BE49-F238E27FC236}">
              <a16:creationId xmlns:a16="http://schemas.microsoft.com/office/drawing/2014/main" id="{B1AB0C74-3B83-4EE5-86A5-50EC1073EBD2}"/>
            </a:ext>
          </a:extLst>
        </xdr:cNvPr>
        <xdr:cNvSpPr txBox="1"/>
      </xdr:nvSpPr>
      <xdr:spPr>
        <a:xfrm>
          <a:off x="1703294" y="2749176"/>
          <a:ext cx="1409451" cy="1897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800"/>
            <a:t>No.</a:t>
          </a:r>
          <a:r>
            <a:rPr lang="en-IN" sz="800" baseline="0"/>
            <a:t> of Patients by Age Group</a:t>
          </a:r>
          <a:endParaRPr lang="en-IN" sz="800"/>
        </a:p>
      </xdr:txBody>
    </xdr:sp>
    <xdr:clientData/>
  </xdr:twoCellAnchor>
  <xdr:twoCellAnchor>
    <xdr:from>
      <xdr:col>7</xdr:col>
      <xdr:colOff>29882</xdr:colOff>
      <xdr:row>0</xdr:row>
      <xdr:rowOff>89648</xdr:rowOff>
    </xdr:from>
    <xdr:to>
      <xdr:col>9</xdr:col>
      <xdr:colOff>79686</xdr:colOff>
      <xdr:row>6</xdr:row>
      <xdr:rowOff>109569</xdr:rowOff>
    </xdr:to>
    <xdr:graphicFrame macro="">
      <xdr:nvGraphicFramePr>
        <xdr:cNvPr id="30" name="Chart 29">
          <a:extLst>
            <a:ext uri="{FF2B5EF4-FFF2-40B4-BE49-F238E27FC236}">
              <a16:creationId xmlns:a16="http://schemas.microsoft.com/office/drawing/2014/main" id="{0D6B8D29-0F93-437C-A3DB-BBFF78A42E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xdr:col>
      <xdr:colOff>224117</xdr:colOff>
      <xdr:row>0</xdr:row>
      <xdr:rowOff>69726</xdr:rowOff>
    </xdr:from>
    <xdr:to>
      <xdr:col>11</xdr:col>
      <xdr:colOff>333687</xdr:colOff>
      <xdr:row>6</xdr:row>
      <xdr:rowOff>134471</xdr:rowOff>
    </xdr:to>
    <xdr:graphicFrame macro="">
      <xdr:nvGraphicFramePr>
        <xdr:cNvPr id="31" name="Chart 30">
          <a:extLst>
            <a:ext uri="{FF2B5EF4-FFF2-40B4-BE49-F238E27FC236}">
              <a16:creationId xmlns:a16="http://schemas.microsoft.com/office/drawing/2014/main" id="{C40A2B50-D3D8-4C9B-8460-0A1E0CCFA4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7</xdr:col>
      <xdr:colOff>6269</xdr:colOff>
      <xdr:row>7</xdr:row>
      <xdr:rowOff>114549</xdr:rowOff>
    </xdr:from>
    <xdr:to>
      <xdr:col>11</xdr:col>
      <xdr:colOff>363568</xdr:colOff>
      <xdr:row>14</xdr:row>
      <xdr:rowOff>84667</xdr:rowOff>
    </xdr:to>
    <xdr:graphicFrame macro="">
      <xdr:nvGraphicFramePr>
        <xdr:cNvPr id="32" name="Chart 31">
          <a:extLst>
            <a:ext uri="{FF2B5EF4-FFF2-40B4-BE49-F238E27FC236}">
              <a16:creationId xmlns:a16="http://schemas.microsoft.com/office/drawing/2014/main" id="{6503B04A-A8EE-4041-87EB-BAFF2462A6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editAs="absolute">
    <xdr:from>
      <xdr:col>7</xdr:col>
      <xdr:colOff>554114</xdr:colOff>
      <xdr:row>14</xdr:row>
      <xdr:rowOff>146903</xdr:rowOff>
    </xdr:from>
    <xdr:to>
      <xdr:col>10</xdr:col>
      <xdr:colOff>512981</xdr:colOff>
      <xdr:row>15</xdr:row>
      <xdr:rowOff>152387</xdr:rowOff>
    </xdr:to>
    <xdr:sp macro="" textlink="">
      <xdr:nvSpPr>
        <xdr:cNvPr id="35" name="TextBox 34">
          <a:extLst>
            <a:ext uri="{FF2B5EF4-FFF2-40B4-BE49-F238E27FC236}">
              <a16:creationId xmlns:a16="http://schemas.microsoft.com/office/drawing/2014/main" id="{3BF6E583-364C-4394-BD75-412BE85151A3}"/>
            </a:ext>
          </a:extLst>
        </xdr:cNvPr>
        <xdr:cNvSpPr txBox="1"/>
      </xdr:nvSpPr>
      <xdr:spPr>
        <a:xfrm>
          <a:off x="4807369" y="2726746"/>
          <a:ext cx="1781690" cy="1897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en-IN" sz="800"/>
            <a:t>No.</a:t>
          </a:r>
          <a:r>
            <a:rPr lang="en-IN" sz="800" baseline="0"/>
            <a:t> of Patients by department Referal</a:t>
          </a:r>
          <a:endParaRPr lang="en-IN" sz="800"/>
        </a:p>
      </xdr:txBody>
    </xdr:sp>
    <xdr:clientData/>
  </xdr:twoCellAnchor>
  <xdr:twoCellAnchor editAs="oneCell">
    <xdr:from>
      <xdr:col>5</xdr:col>
      <xdr:colOff>59765</xdr:colOff>
      <xdr:row>0</xdr:row>
      <xdr:rowOff>109571</xdr:rowOff>
    </xdr:from>
    <xdr:to>
      <xdr:col>6</xdr:col>
      <xdr:colOff>458197</xdr:colOff>
      <xdr:row>2</xdr:row>
      <xdr:rowOff>84668</xdr:rowOff>
    </xdr:to>
    <mc:AlternateContent xmlns:mc="http://schemas.openxmlformats.org/markup-compatibility/2006" xmlns:a14="http://schemas.microsoft.com/office/drawing/2010/main">
      <mc:Choice Requires="a14">
        <xdr:graphicFrame macro="">
          <xdr:nvGraphicFramePr>
            <xdr:cNvPr id="37" name="Date (Year)">
              <a:extLst>
                <a:ext uri="{FF2B5EF4-FFF2-40B4-BE49-F238E27FC236}">
                  <a16:creationId xmlns:a16="http://schemas.microsoft.com/office/drawing/2014/main" id="{9767816E-D171-4A3F-8B33-81C87FFED34C}"/>
                </a:ext>
              </a:extLst>
            </xdr:cNvPr>
            <xdr:cNvGraphicFramePr/>
          </xdr:nvGraphicFramePr>
          <xdr:xfrm>
            <a:off x="0" y="0"/>
            <a:ext cx="0" cy="0"/>
          </xdr:xfrm>
          <a:graphic>
            <a:graphicData uri="http://schemas.microsoft.com/office/drawing/2010/slicer">
              <sle:slicer xmlns:sle="http://schemas.microsoft.com/office/drawing/2010/slicer" name="Date (Year)"/>
            </a:graphicData>
          </a:graphic>
        </xdr:graphicFrame>
      </mc:Choice>
      <mc:Fallback xmlns="">
        <xdr:sp macro="" textlink="">
          <xdr:nvSpPr>
            <xdr:cNvPr id="0" name=""/>
            <xdr:cNvSpPr>
              <a:spLocks noTextEdit="1"/>
            </xdr:cNvSpPr>
          </xdr:nvSpPr>
          <xdr:spPr>
            <a:xfrm>
              <a:off x="3097804" y="109571"/>
              <a:ext cx="1006040" cy="34364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c:userShapes xmlns:c="http://schemas.openxmlformats.org/drawingml/2006/chart">
  <cdr:relSizeAnchor xmlns:cdr="http://schemas.openxmlformats.org/drawingml/2006/chartDrawing">
    <cdr:from>
      <cdr:x>0.10709</cdr:x>
      <cdr:y>0.88008</cdr:y>
    </cdr:from>
    <cdr:to>
      <cdr:x>0.92471</cdr:x>
      <cdr:y>0.99558</cdr:y>
    </cdr:to>
    <cdr:sp macro="" textlink="">
      <cdr:nvSpPr>
        <cdr:cNvPr id="2" name="TextBox 23">
          <a:extLst xmlns:a="http://schemas.openxmlformats.org/drawingml/2006/main">
            <a:ext uri="{FF2B5EF4-FFF2-40B4-BE49-F238E27FC236}">
              <a16:creationId xmlns:a16="http://schemas.microsoft.com/office/drawing/2014/main" id="{9A8AD897-73E5-BF1E-5378-40F86E493F94}"/>
            </a:ext>
          </a:extLst>
        </cdr:cNvPr>
        <cdr:cNvSpPr txBox="1"/>
      </cdr:nvSpPr>
      <cdr:spPr>
        <a:xfrm xmlns:a="http://schemas.openxmlformats.org/drawingml/2006/main">
          <a:off x="135466" y="990595"/>
          <a:ext cx="1034309" cy="129994"/>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lIns="0" tIns="0" rIns="0" bIns="0"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IN" sz="800" baseline="0"/>
            <a:t>Patients Attended Status</a:t>
          </a:r>
          <a:endParaRPr lang="en-IN" sz="800"/>
        </a:p>
      </cdr:txBody>
    </cdr:sp>
  </cdr:relSizeAnchor>
</c:userShapes>
</file>

<file path=xl/drawings/drawing4.xml><?xml version="1.0" encoding="utf-8"?>
<c:userShapes xmlns:c="http://schemas.openxmlformats.org/drawingml/2006/chart">
  <cdr:relSizeAnchor xmlns:cdr="http://schemas.openxmlformats.org/drawingml/2006/chartDrawing">
    <cdr:from>
      <cdr:x>0.12857</cdr:x>
      <cdr:y>0.86894</cdr:y>
    </cdr:from>
    <cdr:to>
      <cdr:x>0.90931</cdr:x>
      <cdr:y>0.98001</cdr:y>
    </cdr:to>
    <cdr:sp macro="" textlink="">
      <cdr:nvSpPr>
        <cdr:cNvPr id="2" name="TextBox 23">
          <a:extLst xmlns:a="http://schemas.openxmlformats.org/drawingml/2006/main">
            <a:ext uri="{FF2B5EF4-FFF2-40B4-BE49-F238E27FC236}">
              <a16:creationId xmlns:a16="http://schemas.microsoft.com/office/drawing/2014/main" id="{56F3CFCA-7CD5-B339-033A-C54874551A96}"/>
            </a:ext>
          </a:extLst>
        </cdr:cNvPr>
        <cdr:cNvSpPr txBox="1"/>
      </cdr:nvSpPr>
      <cdr:spPr>
        <a:xfrm xmlns:a="http://schemas.openxmlformats.org/drawingml/2006/main">
          <a:off x="170329" y="1016997"/>
          <a:ext cx="1034309" cy="129994"/>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lIns="0" tIns="0" rIns="0" bIns="0"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IN" sz="800" baseline="0"/>
            <a:t>Gender Wise Analysis</a:t>
          </a:r>
          <a:endParaRPr lang="en-IN" sz="800"/>
        </a:p>
      </cdr:txBody>
    </cdr:sp>
  </cdr:relSizeAnchor>
</c:userShapes>
</file>

<file path=xl/drawings/drawing5.xml><?xml version="1.0" encoding="utf-8"?>
<xdr:wsDr xmlns:xdr="http://schemas.openxmlformats.org/drawingml/2006/spreadsheetDrawing" xmlns:a="http://schemas.openxmlformats.org/drawingml/2006/main">
  <xdr:twoCellAnchor>
    <xdr:from>
      <xdr:col>0</xdr:col>
      <xdr:colOff>110436</xdr:colOff>
      <xdr:row>0</xdr:row>
      <xdr:rowOff>115958</xdr:rowOff>
    </xdr:from>
    <xdr:to>
      <xdr:col>9</xdr:col>
      <xdr:colOff>143565</xdr:colOff>
      <xdr:row>14</xdr:row>
      <xdr:rowOff>138044</xdr:rowOff>
    </xdr:to>
    <xdr:graphicFrame macro="">
      <xdr:nvGraphicFramePr>
        <xdr:cNvPr id="2" name="Chart 1">
          <a:extLst>
            <a:ext uri="{FF2B5EF4-FFF2-40B4-BE49-F238E27FC236}">
              <a16:creationId xmlns:a16="http://schemas.microsoft.com/office/drawing/2014/main" id="{50B0D907-8B7C-400A-A826-60E9A8B864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309218</xdr:colOff>
      <xdr:row>15</xdr:row>
      <xdr:rowOff>44174</xdr:rowOff>
    </xdr:from>
    <xdr:to>
      <xdr:col>8</xdr:col>
      <xdr:colOff>292652</xdr:colOff>
      <xdr:row>16</xdr:row>
      <xdr:rowOff>154610</xdr:rowOff>
    </xdr:to>
    <xdr:sp macro="" textlink="">
      <xdr:nvSpPr>
        <xdr:cNvPr id="3" name="TextBox 2">
          <a:extLst>
            <a:ext uri="{FF2B5EF4-FFF2-40B4-BE49-F238E27FC236}">
              <a16:creationId xmlns:a16="http://schemas.microsoft.com/office/drawing/2014/main" id="{2EF299C2-339D-4434-AF02-4760BEB29964}"/>
            </a:ext>
          </a:extLst>
        </xdr:cNvPr>
        <xdr:cNvSpPr txBox="1"/>
      </xdr:nvSpPr>
      <xdr:spPr>
        <a:xfrm>
          <a:off x="916609" y="2777435"/>
          <a:ext cx="4235173" cy="2926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800"/>
            <a:t>Showing a daily trend with an area sparkline to spot patterns like busy days or seasonal trends</a:t>
          </a:r>
        </a:p>
      </xdr:txBody>
    </xdr:sp>
    <xdr:clientData/>
  </xdr:twoCellAnchor>
</xdr:wsDr>
</file>

<file path=xl/drawings/drawing6.xml><?xml version="1.0" encoding="utf-8"?>
<c:userShapes xmlns:c="http://schemas.openxmlformats.org/drawingml/2006/chart">
  <cdr:relSizeAnchor xmlns:cdr="http://schemas.openxmlformats.org/drawingml/2006/chartDrawing">
    <cdr:from>
      <cdr:x>0.00498</cdr:x>
      <cdr:y>0.002</cdr:y>
    </cdr:from>
    <cdr:to>
      <cdr:x>0.05379</cdr:x>
      <cdr:y>0.1002</cdr:y>
    </cdr:to>
    <cdr:pic>
      <cdr:nvPicPr>
        <cdr:cNvPr id="3" name="Graphic 2" descr="Home with solid fill">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8A50223B-3E16-ECFB-45EA-7AFF076ECB0D}"/>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96DAC541-7B7A-43D3-8B79-37D633B846F1}">
              <asvg:svgBlip xmlns:asvg="http://schemas.microsoft.com/office/drawing/2016/SVG/main" r:embed="rId3"/>
            </a:ext>
          </a:extLst>
        </a:blip>
        <a:stretch xmlns:a="http://schemas.openxmlformats.org/drawingml/2006/main">
          <a:fillRect/>
        </a:stretch>
      </cdr:blipFill>
      <cdr:spPr>
        <a:xfrm xmlns:a="http://schemas.openxmlformats.org/drawingml/2006/main">
          <a:off x="27609" y="5521"/>
          <a:ext cx="270566" cy="270566"/>
        </a:xfrm>
        <a:prstGeom xmlns:a="http://schemas.openxmlformats.org/drawingml/2006/main" prst="rect">
          <a:avLst/>
        </a:prstGeom>
      </cdr:spPr>
    </cdr:pic>
  </cdr:relSizeAnchor>
</c:userShapes>
</file>

<file path=xl/drawings/drawing7.xml><?xml version="1.0" encoding="utf-8"?>
<xdr:wsDr xmlns:xdr="http://schemas.openxmlformats.org/drawingml/2006/spreadsheetDrawing" xmlns:a="http://schemas.openxmlformats.org/drawingml/2006/main">
  <xdr:twoCellAnchor>
    <xdr:from>
      <xdr:col>0</xdr:col>
      <xdr:colOff>236220</xdr:colOff>
      <xdr:row>2</xdr:row>
      <xdr:rowOff>60960</xdr:rowOff>
    </xdr:from>
    <xdr:to>
      <xdr:col>13</xdr:col>
      <xdr:colOff>274320</xdr:colOff>
      <xdr:row>19</xdr:row>
      <xdr:rowOff>45720</xdr:rowOff>
    </xdr:to>
    <xdr:graphicFrame macro="">
      <xdr:nvGraphicFramePr>
        <xdr:cNvPr id="2" name="Chart 1">
          <a:extLst>
            <a:ext uri="{FF2B5EF4-FFF2-40B4-BE49-F238E27FC236}">
              <a16:creationId xmlns:a16="http://schemas.microsoft.com/office/drawing/2014/main" id="{3BB6B1E9-A4F6-43FB-B4B2-D939AF8D82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472833</xdr:colOff>
      <xdr:row>20</xdr:row>
      <xdr:rowOff>53105</xdr:rowOff>
    </xdr:from>
    <xdr:to>
      <xdr:col>11</xdr:col>
      <xdr:colOff>369217</xdr:colOff>
      <xdr:row>21</xdr:row>
      <xdr:rowOff>162878</xdr:rowOff>
    </xdr:to>
    <xdr:sp macro="" textlink="">
      <xdr:nvSpPr>
        <xdr:cNvPr id="3" name="TextBox 2">
          <a:extLst>
            <a:ext uri="{FF2B5EF4-FFF2-40B4-BE49-F238E27FC236}">
              <a16:creationId xmlns:a16="http://schemas.microsoft.com/office/drawing/2014/main" id="{EE4270A4-3C09-423D-91F4-88F60C39CB7E}"/>
            </a:ext>
          </a:extLst>
        </xdr:cNvPr>
        <xdr:cNvSpPr txBox="1"/>
      </xdr:nvSpPr>
      <xdr:spPr>
        <a:xfrm>
          <a:off x="1698318" y="3666713"/>
          <a:ext cx="5411064" cy="2904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800"/>
            <a:t>Use</a:t>
          </a:r>
          <a:r>
            <a:rPr lang="en-IN" sz="800" baseline="0"/>
            <a:t> an area chart to track daily changes and heighlight days with longer wait times and that might  need improvements.</a:t>
          </a:r>
          <a:endParaRPr lang="en-IN" sz="800"/>
        </a:p>
      </xdr:txBody>
    </xdr:sp>
    <xdr:clientData/>
  </xdr:twoCellAnchor>
  <xdr:twoCellAnchor editAs="oneCell">
    <xdr:from>
      <xdr:col>0</xdr:col>
      <xdr:colOff>306372</xdr:colOff>
      <xdr:row>2</xdr:row>
      <xdr:rowOff>172826</xdr:rowOff>
    </xdr:from>
    <xdr:to>
      <xdr:col>1</xdr:col>
      <xdr:colOff>54991</xdr:colOff>
      <xdr:row>4</xdr:row>
      <xdr:rowOff>172826</xdr:rowOff>
    </xdr:to>
    <xdr:pic>
      <xdr:nvPicPr>
        <xdr:cNvPr id="5" name="Graphic 4" descr="Home with solid fill">
          <a:hlinkClick xmlns:r="http://schemas.openxmlformats.org/officeDocument/2006/relationships" r:id="rId2"/>
          <a:extLst>
            <a:ext uri="{FF2B5EF4-FFF2-40B4-BE49-F238E27FC236}">
              <a16:creationId xmlns:a16="http://schemas.microsoft.com/office/drawing/2014/main" id="{38C2A3E7-8F3D-0C8D-AF91-9A7D0738BBC1}"/>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06372" y="534187"/>
          <a:ext cx="361361" cy="36136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3</xdr:col>
      <xdr:colOff>87906</xdr:colOff>
      <xdr:row>19</xdr:row>
      <xdr:rowOff>84527</xdr:rowOff>
    </xdr:from>
    <xdr:to>
      <xdr:col>10</xdr:col>
      <xdr:colOff>172825</xdr:colOff>
      <xdr:row>21</xdr:row>
      <xdr:rowOff>13620</xdr:rowOff>
    </xdr:to>
    <xdr:sp macro="" textlink="">
      <xdr:nvSpPr>
        <xdr:cNvPr id="3" name="TextBox 2">
          <a:extLst>
            <a:ext uri="{FF2B5EF4-FFF2-40B4-BE49-F238E27FC236}">
              <a16:creationId xmlns:a16="http://schemas.microsoft.com/office/drawing/2014/main" id="{F48FCFC7-F8BD-487D-98AF-50307DC3E7F3}"/>
            </a:ext>
          </a:extLst>
        </xdr:cNvPr>
        <xdr:cNvSpPr txBox="1"/>
      </xdr:nvSpPr>
      <xdr:spPr>
        <a:xfrm>
          <a:off x="1926133" y="3517455"/>
          <a:ext cx="4374115" cy="2904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800"/>
            <a:t>Use</a:t>
          </a:r>
          <a:r>
            <a:rPr lang="en-IN" sz="800" baseline="0"/>
            <a:t> an chart to show trends, spot drops in satisfaction, and link them to busy times or challengs </a:t>
          </a:r>
          <a:endParaRPr lang="en-IN" sz="800"/>
        </a:p>
      </xdr:txBody>
    </xdr:sp>
    <xdr:clientData/>
  </xdr:twoCellAnchor>
  <xdr:twoCellAnchor>
    <xdr:from>
      <xdr:col>0</xdr:col>
      <xdr:colOff>204247</xdr:colOff>
      <xdr:row>1</xdr:row>
      <xdr:rowOff>102124</xdr:rowOff>
    </xdr:from>
    <xdr:to>
      <xdr:col>13</xdr:col>
      <xdr:colOff>235670</xdr:colOff>
      <xdr:row>18</xdr:row>
      <xdr:rowOff>0</xdr:rowOff>
    </xdr:to>
    <xdr:graphicFrame macro="">
      <xdr:nvGraphicFramePr>
        <xdr:cNvPr id="5" name="Chart 4">
          <a:extLst>
            <a:ext uri="{FF2B5EF4-FFF2-40B4-BE49-F238E27FC236}">
              <a16:creationId xmlns:a16="http://schemas.microsoft.com/office/drawing/2014/main" id="{2F846EEC-CED4-48E5-8CFF-015CBEC26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c:userShapes xmlns:c="http://schemas.openxmlformats.org/drawingml/2006/chart">
  <cdr:relSizeAnchor xmlns:cdr="http://schemas.openxmlformats.org/drawingml/2006/chartDrawing">
    <cdr:from>
      <cdr:x>0.05152</cdr:x>
      <cdr:y>0.02269</cdr:y>
    </cdr:from>
    <cdr:to>
      <cdr:x>0.09401</cdr:x>
      <cdr:y>0.14416</cdr:y>
    </cdr:to>
    <cdr:pic>
      <cdr:nvPicPr>
        <cdr:cNvPr id="3" name="Graphic 2" descr="Home with solid fill">
          <a:hlinkClick xmlns:a="http://schemas.openxmlformats.org/drawingml/2006/main" xmlns:r="http://schemas.openxmlformats.org/officeDocument/2006/relationships" r:id="rId1"/>
          <a:extLst xmlns:a="http://schemas.openxmlformats.org/drawingml/2006/main">
            <a:ext uri="{FF2B5EF4-FFF2-40B4-BE49-F238E27FC236}">
              <a16:creationId xmlns:a16="http://schemas.microsoft.com/office/drawing/2014/main" id="{612A94CB-3AEA-6D57-690D-5EA81261073B}"/>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extLst>
            <a:ext uri="{96DAC541-7B7A-43D3-8B79-37D633B846F1}">
              <asvg:svgBlip xmlns:asvg="http://schemas.microsoft.com/office/drawing/2016/SVG/main" r:embed="rId3"/>
            </a:ext>
          </a:extLst>
        </a:blip>
        <a:stretch xmlns:a="http://schemas.openxmlformats.org/drawingml/2006/main">
          <a:fillRect/>
        </a:stretch>
      </cdr:blipFill>
      <cdr:spPr>
        <a:xfrm xmlns:a="http://schemas.openxmlformats.org/drawingml/2006/main">
          <a:off x="411987" y="67373"/>
          <a:ext cx="339797" cy="360696"/>
        </a:xfrm>
        <a:prstGeom xmlns:a="http://schemas.openxmlformats.org/drawingml/2006/main" prst="rect">
          <a:avLst/>
        </a:prstGeom>
      </cdr:spPr>
    </cdr:pic>
  </cdr:relSizeAnchor>
</c:userShape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n Manjappa Naik" refreshedDate="46210.866651157405" createdVersion="5" refreshedVersion="8" minRefreshableVersion="3" recordCount="0" supportSubquery="1" supportAdvancedDrill="1" xr:uid="{5597CC7B-9AA5-4C6A-8BA0-888964F89B23}">
  <cacheSource type="external" connectionId="3"/>
  <cacheFields count="4">
    <cacheField name="[Measures].[Distinct Count of Patient Id]" caption="Distinct Count of Patient Id" numFmtId="0" hierarchy="24" level="32767"/>
    <cacheField name="[Calender_Type].[Date (Day)].[Date (Day)]" caption="Date (Day)" numFmtId="0" hierarchy="2" level="1">
      <sharedItems count="31">
        <s v="1-Mar"/>
        <s v="2-Mar"/>
        <s v="3-Mar"/>
        <s v="4-Mar"/>
        <s v="5-Mar"/>
        <s v="6-Mar"/>
        <s v="7-Mar"/>
        <s v="8-Mar"/>
        <s v="9-Mar"/>
        <s v="10-Mar"/>
        <s v="11-Mar"/>
        <s v="12-Mar"/>
        <s v="13-Mar"/>
        <s v="14-Mar"/>
        <s v="15-Mar"/>
        <s v="16-Mar"/>
        <s v="17-Mar"/>
        <s v="18-Mar"/>
        <s v="19-Mar"/>
        <s v="20-Mar"/>
        <s v="21-Mar"/>
        <s v="22-Mar"/>
        <s v="23-Mar"/>
        <s v="24-Mar"/>
        <s v="25-Mar"/>
        <s v="26-Mar"/>
        <s v="27-Mar"/>
        <s v="28-Mar"/>
        <s v="29-Mar"/>
        <s v="30-Mar"/>
        <s v="31-Mar"/>
      </sharedItems>
    </cacheField>
    <cacheField name="[Calender_Type].[Date (Month)].[Date (Month)]" caption="Date (Month)" numFmtId="0" hierarchy="1" level="1">
      <sharedItems containsSemiMixedTypes="0" containsNonDate="0" containsString="0"/>
    </cacheField>
    <cacheField name="[Calender_Type].[Date (Year)].[Date (Year)]" caption="Date (Year)" numFmtId="0" hierarchy="3" level="1">
      <sharedItems containsSemiMixedTypes="0" containsNonDate="0" containsString="0"/>
    </cacheField>
  </cacheFields>
  <cacheHierarchies count="34">
    <cacheHierarchy uniqueName="[Calender_Type].[Date]" caption="Date" attribute="1" time="1" defaultMemberUniqueName="[Calender_Type].[Date].[All]" allUniqueName="[Calender_Type].[Date].[All]" dimensionUniqueName="[Calender_Type]" displayFolder="" count="0" memberValueDatatype="7" unbalanced="0"/>
    <cacheHierarchy uniqueName="[Calender_Type].[Date (Month)]" caption="Date (Month)" attribute="1" defaultMemberUniqueName="[Calender_Type].[Date (Month)].[All]" allUniqueName="[Calender_Type].[Date (Month)].[All]" dimensionUniqueName="[Calender_Type]" displayFolder="" count="2" memberValueDatatype="130" unbalanced="0">
      <fieldsUsage count="2">
        <fieldUsage x="-1"/>
        <fieldUsage x="2"/>
      </fieldsUsage>
    </cacheHierarchy>
    <cacheHierarchy uniqueName="[Calender_Type].[Date (Day)]" caption="Date (Day)" attribute="1" defaultMemberUniqueName="[Calender_Type].[Date (Day)].[All]" allUniqueName="[Calender_Type].[Date (Day)].[All]" dimensionUniqueName="[Calender_Type]" displayFolder="" count="2" memberValueDatatype="130" unbalanced="0">
      <fieldsUsage count="2">
        <fieldUsage x="-1"/>
        <fieldUsage x="1"/>
      </fieldsUsage>
    </cacheHierarchy>
    <cacheHierarchy uniqueName="[Calender_Type].[Date (Year)]" caption="Date (Year)" attribute="1" defaultMemberUniqueName="[Calender_Type].[Date (Year)].[All]" allUniqueName="[Calender_Type].[Date (Year)].[All]" dimensionUniqueName="[Calender_Type]" displayFolder="" count="2" memberValueDatatype="130" unbalanced="0">
      <fieldsUsage count="2">
        <fieldUsage x="-1"/>
        <fieldUsage x="3"/>
      </fieldsUsage>
    </cacheHierarchy>
    <cacheHierarchy uniqueName="[Calender_Type].[Date (Quarter)]" caption="Date (Quarter)" attribute="1" defaultMemberUniqueName="[Calender_Type].[Date (Quarter)].[All]" allUniqueName="[Calender_Type].[Date (Quarter)].[All]" dimensionUniqueName="[Calender_Typ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er_Type].[Date (Day Index)]" caption="Date (Day Index)" attribute="1" defaultMemberUniqueName="[Calender_Type].[Date (Day Index)].[All]" allUniqueName="[Calender_Type].[Date (Day Index)].[All]" dimensionUniqueName="[Calender_Type]" displayFolder="" count="0" memberValueDatatype="5" unbalanced="0" hidden="1"/>
    <cacheHierarchy uniqueName="[Calender_Type].[Date (Month Index)]" caption="Date (Month Index)" attribute="1" defaultMemberUniqueName="[Calender_Type].[Date (Month Index)].[All]" allUniqueName="[Calender_Type].[Date (Month Index)].[All]" dimensionUniqueName="[Calender_Typ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Type]" caption="__XL_Count Calender_Type" measure="1" displayFolder="" measureGroup="Calender_Typ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er_Type" uniqueName="[Calender_Type]" caption="Calender_Type"/>
    <dimension name="Hospital Emergency Room Data" uniqueName="[Hospital Emergency Room Data]" caption="Hospital Emergency Room Data"/>
    <dimension measure="1" name="Measures" uniqueName="[Measures]" caption="Measures"/>
  </dimensions>
  <measureGroups count="2">
    <measureGroup name="Calender_Type" caption="Calender_Typ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n Manjappa Naik" refreshedDate="46210.866651388889" createdVersion="5" refreshedVersion="8" minRefreshableVersion="3" recordCount="0" supportSubquery="1" supportAdvancedDrill="1" xr:uid="{4F59FBD5-B5EB-4978-A615-C768337AD00F}">
  <cacheSource type="external" connectionId="3"/>
  <cacheFields count="3">
    <cacheField name="[Measures].[Distinct Count of Patient Id]" caption="Distinct Count of Patient Id" numFmtId="0" hierarchy="24" level="32767"/>
    <cacheField name="[Calender_Type].[Date (Month)].[Date (Month)]" caption="Date (Month)" numFmtId="0" hierarchy="1" level="1">
      <sharedItems containsSemiMixedTypes="0" containsNonDate="0" containsString="0"/>
    </cacheField>
    <cacheField name="[Calender_Type].[Date (Year)].[Date (Year)]" caption="Date (Year)" numFmtId="0" hierarchy="3" level="1">
      <sharedItems containsSemiMixedTypes="0" containsNonDate="0" containsString="0"/>
    </cacheField>
  </cacheFields>
  <cacheHierarchies count="34">
    <cacheHierarchy uniqueName="[Calender_Type].[Date]" caption="Date" attribute="1" time="1" defaultMemberUniqueName="[Calender_Type].[Date].[All]" allUniqueName="[Calender_Type].[Date].[All]" dimensionUniqueName="[Calender_Type]" displayFolder="" count="0" memberValueDatatype="7" unbalanced="0"/>
    <cacheHierarchy uniqueName="[Calender_Type].[Date (Month)]" caption="Date (Month)" attribute="1" defaultMemberUniqueName="[Calender_Type].[Date (Month)].[All]" allUniqueName="[Calender_Type].[Date (Month)].[All]" dimensionUniqueName="[Calender_Type]" displayFolder="" count="2" memberValueDatatype="130" unbalanced="0">
      <fieldsUsage count="2">
        <fieldUsage x="-1"/>
        <fieldUsage x="1"/>
      </fieldsUsage>
    </cacheHierarchy>
    <cacheHierarchy uniqueName="[Calender_Type].[Date (Day)]" caption="Date (Day)" attribute="1" defaultMemberUniqueName="[Calender_Type].[Date (Day)].[All]" allUniqueName="[Calender_Type].[Date (Day)].[All]" dimensionUniqueName="[Calender_Type]" displayFolder="" count="0" memberValueDatatype="130" unbalanced="0"/>
    <cacheHierarchy uniqueName="[Calender_Type].[Date (Year)]" caption="Date (Year)" attribute="1" defaultMemberUniqueName="[Calender_Type].[Date (Year)].[All]" allUniqueName="[Calender_Type].[Date (Year)].[All]" dimensionUniqueName="[Calender_Type]" displayFolder="" count="2" memberValueDatatype="130" unbalanced="0">
      <fieldsUsage count="2">
        <fieldUsage x="-1"/>
        <fieldUsage x="2"/>
      </fieldsUsage>
    </cacheHierarchy>
    <cacheHierarchy uniqueName="[Calender_Type].[Date (Quarter)]" caption="Date (Quarter)" attribute="1" defaultMemberUniqueName="[Calender_Type].[Date (Quarter)].[All]" allUniqueName="[Calender_Type].[Date (Quarter)].[All]" dimensionUniqueName="[Calender_Typ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er_Type].[Date (Day Index)]" caption="Date (Day Index)" attribute="1" defaultMemberUniqueName="[Calender_Type].[Date (Day Index)].[All]" allUniqueName="[Calender_Type].[Date (Day Index)].[All]" dimensionUniqueName="[Calender_Type]" displayFolder="" count="0" memberValueDatatype="5" unbalanced="0" hidden="1"/>
    <cacheHierarchy uniqueName="[Calender_Type].[Date (Month Index)]" caption="Date (Month Index)" attribute="1" defaultMemberUniqueName="[Calender_Type].[Date (Month Index)].[All]" allUniqueName="[Calender_Type].[Date (Month Index)].[All]" dimensionUniqueName="[Calender_Typ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Type]" caption="__XL_Count Calender_Type" measure="1" displayFolder="" measureGroup="Calender_Typ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er_Type" uniqueName="[Calender_Type]" caption="Calender_Type"/>
    <dimension name="Hospital Emergency Room Data" uniqueName="[Hospital Emergency Room Data]" caption="Hospital Emergency Room Data"/>
    <dimension measure="1" name="Measures" uniqueName="[Measures]" caption="Measures"/>
  </dimensions>
  <measureGroups count="2">
    <measureGroup name="Calender_Type" caption="Calender_Typ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n Manjappa Naik" refreshedDate="46210.866654050929" createdVersion="5" refreshedVersion="8" minRefreshableVersion="3" recordCount="0" supportSubquery="1" supportAdvancedDrill="1" xr:uid="{3EFF5335-D373-40FA-A088-BCF5D9708C90}">
  <cacheSource type="external" connectionId="3"/>
  <cacheFields count="3">
    <cacheField name="[Measures].[Average of Patient Waittime]" caption="Average of Patient Waittime" numFmtId="0" hierarchy="26" level="32767"/>
    <cacheField name="[Calender_Type].[Date (Month)].[Date (Month)]" caption="Date (Month)" numFmtId="0" hierarchy="1" level="1">
      <sharedItems containsSemiMixedTypes="0" containsNonDate="0" containsString="0"/>
    </cacheField>
    <cacheField name="[Calender_Type].[Date (Year)].[Date (Year)]" caption="Date (Year)" numFmtId="0" hierarchy="3" level="1">
      <sharedItems containsSemiMixedTypes="0" containsNonDate="0" containsString="0"/>
    </cacheField>
  </cacheFields>
  <cacheHierarchies count="34">
    <cacheHierarchy uniqueName="[Calender_Type].[Date]" caption="Date" attribute="1" time="1" defaultMemberUniqueName="[Calender_Type].[Date].[All]" allUniqueName="[Calender_Type].[Date].[All]" dimensionUniqueName="[Calender_Type]" displayFolder="" count="0" memberValueDatatype="7" unbalanced="0"/>
    <cacheHierarchy uniqueName="[Calender_Type].[Date (Month)]" caption="Date (Month)" attribute="1" defaultMemberUniqueName="[Calender_Type].[Date (Month)].[All]" allUniqueName="[Calender_Type].[Date (Month)].[All]" dimensionUniqueName="[Calender_Type]" displayFolder="" count="2" memberValueDatatype="130" unbalanced="0">
      <fieldsUsage count="2">
        <fieldUsage x="-1"/>
        <fieldUsage x="1"/>
      </fieldsUsage>
    </cacheHierarchy>
    <cacheHierarchy uniqueName="[Calender_Type].[Date (Day)]" caption="Date (Day)" attribute="1" defaultMemberUniqueName="[Calender_Type].[Date (Day)].[All]" allUniqueName="[Calender_Type].[Date (Day)].[All]" dimensionUniqueName="[Calender_Type]" displayFolder="" count="0" memberValueDatatype="130" unbalanced="0"/>
    <cacheHierarchy uniqueName="[Calender_Type].[Date (Year)]" caption="Date (Year)" attribute="1" defaultMemberUniqueName="[Calender_Type].[Date (Year)].[All]" allUniqueName="[Calender_Type].[Date (Year)].[All]" dimensionUniqueName="[Calender_Type]" displayFolder="" count="2" memberValueDatatype="130" unbalanced="0">
      <fieldsUsage count="2">
        <fieldUsage x="-1"/>
        <fieldUsage x="2"/>
      </fieldsUsage>
    </cacheHierarchy>
    <cacheHierarchy uniqueName="[Calender_Type].[Date (Quarter)]" caption="Date (Quarter)" attribute="1" defaultMemberUniqueName="[Calender_Type].[Date (Quarter)].[All]" allUniqueName="[Calender_Type].[Date (Quarter)].[All]" dimensionUniqueName="[Calender_Typ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er_Type].[Date (Day Index)]" caption="Date (Day Index)" attribute="1" defaultMemberUniqueName="[Calender_Type].[Date (Day Index)].[All]" allUniqueName="[Calender_Type].[Date (Day Index)].[All]" dimensionUniqueName="[Calender_Type]" displayFolder="" count="0" memberValueDatatype="5" unbalanced="0" hidden="1"/>
    <cacheHierarchy uniqueName="[Calender_Type].[Date (Month Index)]" caption="Date (Month Index)" attribute="1" defaultMemberUniqueName="[Calender_Type].[Date (Month Index)].[All]" allUniqueName="[Calender_Type].[Date (Month Index)].[All]" dimensionUniqueName="[Calender_Typ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Type]" caption="__XL_Count Calender_Type" measure="1" displayFolder="" measureGroup="Calender_Typ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oneField="1" hidden="1">
      <fieldsUsage count="1">
        <fieldUsage x="0"/>
      </fieldsUsage>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er_Type" uniqueName="[Calender_Type]" caption="Calender_Type"/>
    <dimension name="Hospital Emergency Room Data" uniqueName="[Hospital Emergency Room Data]" caption="Hospital Emergency Room Data"/>
    <dimension measure="1" name="Measures" uniqueName="[Measures]" caption="Measures"/>
  </dimensions>
  <measureGroups count="2">
    <measureGroup name="Calender_Type" caption="Calender_Typ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n Manjappa Naik" refreshedDate="46210.866654513891" createdVersion="5" refreshedVersion="8" minRefreshableVersion="3" recordCount="0" supportSubquery="1" supportAdvancedDrill="1" xr:uid="{A7C47AD2-BF4D-4B56-A45B-1AEA943C1BA4}">
  <cacheSource type="external" connectionId="3"/>
  <cacheFields count="3">
    <cacheField name="[Measures].[Average of Patient Satisfaction Score]" caption="Average of Patient Satisfaction Score" numFmtId="0" hierarchy="28" level="32767"/>
    <cacheField name="[Calender_Type].[Date (Month)].[Date (Month)]" caption="Date (Month)" numFmtId="0" hierarchy="1" level="1">
      <sharedItems containsSemiMixedTypes="0" containsNonDate="0" containsString="0"/>
    </cacheField>
    <cacheField name="[Calender_Type].[Date (Year)].[Date (Year)]" caption="Date (Year)" numFmtId="0" hierarchy="3" level="1">
      <sharedItems containsSemiMixedTypes="0" containsNonDate="0" containsString="0"/>
    </cacheField>
  </cacheFields>
  <cacheHierarchies count="34">
    <cacheHierarchy uniqueName="[Calender_Type].[Date]" caption="Date" attribute="1" time="1" defaultMemberUniqueName="[Calender_Type].[Date].[All]" allUniqueName="[Calender_Type].[Date].[All]" dimensionUniqueName="[Calender_Type]" displayFolder="" count="0" memberValueDatatype="7" unbalanced="0"/>
    <cacheHierarchy uniqueName="[Calender_Type].[Date (Month)]" caption="Date (Month)" attribute="1" defaultMemberUniqueName="[Calender_Type].[Date (Month)].[All]" allUniqueName="[Calender_Type].[Date (Month)].[All]" dimensionUniqueName="[Calender_Type]" displayFolder="" count="2" memberValueDatatype="130" unbalanced="0">
      <fieldsUsage count="2">
        <fieldUsage x="-1"/>
        <fieldUsage x="1"/>
      </fieldsUsage>
    </cacheHierarchy>
    <cacheHierarchy uniqueName="[Calender_Type].[Date (Day)]" caption="Date (Day)" attribute="1" defaultMemberUniqueName="[Calender_Type].[Date (Day)].[All]" allUniqueName="[Calender_Type].[Date (Day)].[All]" dimensionUniqueName="[Calender_Type]" displayFolder="" count="0" memberValueDatatype="130" unbalanced="0"/>
    <cacheHierarchy uniqueName="[Calender_Type].[Date (Year)]" caption="Date (Year)" attribute="1" defaultMemberUniqueName="[Calender_Type].[Date (Year)].[All]" allUniqueName="[Calender_Type].[Date (Year)].[All]" dimensionUniqueName="[Calender_Type]" displayFolder="" count="2" memberValueDatatype="130" unbalanced="0">
      <fieldsUsage count="2">
        <fieldUsage x="-1"/>
        <fieldUsage x="2"/>
      </fieldsUsage>
    </cacheHierarchy>
    <cacheHierarchy uniqueName="[Calender_Type].[Date (Quarter)]" caption="Date (Quarter)" attribute="1" defaultMemberUniqueName="[Calender_Type].[Date (Quarter)].[All]" allUniqueName="[Calender_Type].[Date (Quarter)].[All]" dimensionUniqueName="[Calender_Typ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er_Type].[Date (Day Index)]" caption="Date (Day Index)" attribute="1" defaultMemberUniqueName="[Calender_Type].[Date (Day Index)].[All]" allUniqueName="[Calender_Type].[Date (Day Index)].[All]" dimensionUniqueName="[Calender_Type]" displayFolder="" count="0" memberValueDatatype="5" unbalanced="0" hidden="1"/>
    <cacheHierarchy uniqueName="[Calender_Type].[Date (Month Index)]" caption="Date (Month Index)" attribute="1" defaultMemberUniqueName="[Calender_Type].[Date (Month Index)].[All]" allUniqueName="[Calender_Type].[Date (Month Index)].[All]" dimensionUniqueName="[Calender_Typ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Type]" caption="__XL_Count Calender_Type" measure="1" displayFolder="" measureGroup="Calender_Typ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oneField="1" hidden="1">
      <fieldsUsage count="1">
        <fieldUsage x="0"/>
      </fieldsUsage>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er_Type" uniqueName="[Calender_Type]" caption="Calender_Type"/>
    <dimension name="Hospital Emergency Room Data" uniqueName="[Hospital Emergency Room Data]" caption="Hospital Emergency Room Data"/>
    <dimension measure="1" name="Measures" uniqueName="[Measures]" caption="Measures"/>
  </dimensions>
  <measureGroups count="2">
    <measureGroup name="Calender_Type" caption="Calender_Typ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n Manjappa Naik" refreshedDate="46210.866654861115" createdVersion="5" refreshedVersion="8" minRefreshableVersion="3" recordCount="0" supportSubquery="1" supportAdvancedDrill="1" xr:uid="{379CC357-63B9-4773-A93A-16025C927581}">
  <cacheSource type="external" connectionId="3"/>
  <cacheFields count="3">
    <cacheField name="[Measures].[Average of Patient Satisfaction Score]" caption="Average of Patient Satisfaction Score" numFmtId="0" hierarchy="28" level="32767"/>
    <cacheField name="[Calender_Type].[Date (Month)].[Date (Month)]" caption="Date (Month)" numFmtId="0" hierarchy="1" level="1">
      <sharedItems containsSemiMixedTypes="0" containsNonDate="0" containsString="0"/>
    </cacheField>
    <cacheField name="[Calender_Type].[Date (Year)].[Date (Year)]" caption="Date (Year)" numFmtId="0" hierarchy="3" level="1">
      <sharedItems containsSemiMixedTypes="0" containsNonDate="0" containsString="0"/>
    </cacheField>
  </cacheFields>
  <cacheHierarchies count="34">
    <cacheHierarchy uniqueName="[Calender_Type].[Date]" caption="Date" attribute="1" time="1" defaultMemberUniqueName="[Calender_Type].[Date].[All]" allUniqueName="[Calender_Type].[Date].[All]" dimensionUniqueName="[Calender_Type]" displayFolder="" count="0" memberValueDatatype="7" unbalanced="0"/>
    <cacheHierarchy uniqueName="[Calender_Type].[Date (Month)]" caption="Date (Month)" attribute="1" defaultMemberUniqueName="[Calender_Type].[Date (Month)].[All]" allUniqueName="[Calender_Type].[Date (Month)].[All]" dimensionUniqueName="[Calender_Type]" displayFolder="" count="2" memberValueDatatype="130" unbalanced="0">
      <fieldsUsage count="2">
        <fieldUsage x="-1"/>
        <fieldUsage x="1"/>
      </fieldsUsage>
    </cacheHierarchy>
    <cacheHierarchy uniqueName="[Calender_Type].[Date (Day)]" caption="Date (Day)" attribute="1" defaultMemberUniqueName="[Calender_Type].[Date (Day)].[All]" allUniqueName="[Calender_Type].[Date (Day)].[All]" dimensionUniqueName="[Calender_Type]" displayFolder="" count="0" memberValueDatatype="130" unbalanced="0"/>
    <cacheHierarchy uniqueName="[Calender_Type].[Date (Year)]" caption="Date (Year)" attribute="1" defaultMemberUniqueName="[Calender_Type].[Date (Year)].[All]" allUniqueName="[Calender_Type].[Date (Year)].[All]" dimensionUniqueName="[Calender_Type]" displayFolder="" count="2" memberValueDatatype="130" unbalanced="0">
      <fieldsUsage count="2">
        <fieldUsage x="-1"/>
        <fieldUsage x="2"/>
      </fieldsUsage>
    </cacheHierarchy>
    <cacheHierarchy uniqueName="[Calender_Type].[Date (Quarter)]" caption="Date (Quarter)" attribute="1" defaultMemberUniqueName="[Calender_Type].[Date (Quarter)].[All]" allUniqueName="[Calender_Type].[Date (Quarter)].[All]" dimensionUniqueName="[Calender_Typ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er_Type].[Date (Day Index)]" caption="Date (Day Index)" attribute="1" defaultMemberUniqueName="[Calender_Type].[Date (Day Index)].[All]" allUniqueName="[Calender_Type].[Date (Day Index)].[All]" dimensionUniqueName="[Calender_Type]" displayFolder="" count="0" memberValueDatatype="5" unbalanced="0" hidden="1"/>
    <cacheHierarchy uniqueName="[Calender_Type].[Date (Month Index)]" caption="Date (Month Index)" attribute="1" defaultMemberUniqueName="[Calender_Type].[Date (Month Index)].[All]" allUniqueName="[Calender_Type].[Date (Month Index)].[All]" dimensionUniqueName="[Calender_Typ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Type]" caption="__XL_Count Calender_Type" measure="1" displayFolder="" measureGroup="Calender_Typ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oneField="1" hidden="1">
      <fieldsUsage count="1">
        <fieldUsage x="0"/>
      </fieldsUsage>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er_Type" uniqueName="[Calender_Type]" caption="Calender_Type"/>
    <dimension name="Hospital Emergency Room Data" uniqueName="[Hospital Emergency Room Data]" caption="Hospital Emergency Room Data"/>
    <dimension measure="1" name="Measures" uniqueName="[Measures]" caption="Measures"/>
  </dimensions>
  <measureGroups count="2">
    <measureGroup name="Calender_Type" caption="Calender_Typ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n Manjappa Naik" refreshedDate="46210.866655555554" createdVersion="5" refreshedVersion="8" minRefreshableVersion="3" recordCount="0" supportSubquery="1" supportAdvancedDrill="1" xr:uid="{82A50E08-2457-4545-9988-50641EBCEDDA}">
  <cacheSource type="external" connectionId="3"/>
  <cacheFields count="4">
    <cacheField name="[Calender_Type].[Date (Day)].[Date (Day)]" caption="Date (Day)" numFmtId="0" hierarchy="2" level="1">
      <sharedItems count="31">
        <s v="1-Mar"/>
        <s v="2-Mar"/>
        <s v="3-Mar"/>
        <s v="4-Mar"/>
        <s v="5-Mar"/>
        <s v="6-Mar"/>
        <s v="7-Mar"/>
        <s v="8-Mar"/>
        <s v="9-Mar"/>
        <s v="10-Mar"/>
        <s v="11-Mar"/>
        <s v="12-Mar"/>
        <s v="13-Mar"/>
        <s v="14-Mar"/>
        <s v="15-Mar"/>
        <s v="16-Mar"/>
        <s v="17-Mar"/>
        <s v="18-Mar"/>
        <s v="19-Mar"/>
        <s v="20-Mar"/>
        <s v="21-Mar"/>
        <s v="22-Mar"/>
        <s v="23-Mar"/>
        <s v="24-Mar"/>
        <s v="25-Mar"/>
        <s v="26-Mar"/>
        <s v="27-Mar"/>
        <s v="28-Mar"/>
        <s v="29-Mar"/>
        <s v="30-Mar"/>
        <s v="31-Mar"/>
      </sharedItems>
    </cacheField>
    <cacheField name="[Calender_Type].[Date (Month)].[Date (Month)]" caption="Date (Month)" numFmtId="0" hierarchy="1" level="1">
      <sharedItems containsSemiMixedTypes="0" containsNonDate="0" containsString="0"/>
    </cacheField>
    <cacheField name="[Measures].[Average of Patient Waittime]" caption="Average of Patient Waittime" numFmtId="0" hierarchy="26" level="32767"/>
    <cacheField name="[Calender_Type].[Date (Year)].[Date (Year)]" caption="Date (Year)" numFmtId="0" hierarchy="3" level="1">
      <sharedItems containsSemiMixedTypes="0" containsNonDate="0" containsString="0"/>
    </cacheField>
  </cacheFields>
  <cacheHierarchies count="34">
    <cacheHierarchy uniqueName="[Calender_Type].[Date]" caption="Date" attribute="1" time="1" defaultMemberUniqueName="[Calender_Type].[Date].[All]" allUniqueName="[Calender_Type].[Date].[All]" dimensionUniqueName="[Calender_Type]" displayFolder="" count="0" memberValueDatatype="7" unbalanced="0"/>
    <cacheHierarchy uniqueName="[Calender_Type].[Date (Month)]" caption="Date (Month)" attribute="1" defaultMemberUniqueName="[Calender_Type].[Date (Month)].[All]" allUniqueName="[Calender_Type].[Date (Month)].[All]" dimensionUniqueName="[Calender_Type]" displayFolder="" count="2" memberValueDatatype="130" unbalanced="0">
      <fieldsUsage count="2">
        <fieldUsage x="-1"/>
        <fieldUsage x="1"/>
      </fieldsUsage>
    </cacheHierarchy>
    <cacheHierarchy uniqueName="[Calender_Type].[Date (Day)]" caption="Date (Day)" attribute="1" defaultMemberUniqueName="[Calender_Type].[Date (Day)].[All]" allUniqueName="[Calender_Type].[Date (Day)].[All]" dimensionUniqueName="[Calender_Type]" displayFolder="" count="2" memberValueDatatype="130" unbalanced="0">
      <fieldsUsage count="2">
        <fieldUsage x="-1"/>
        <fieldUsage x="0"/>
      </fieldsUsage>
    </cacheHierarchy>
    <cacheHierarchy uniqueName="[Calender_Type].[Date (Year)]" caption="Date (Year)" attribute="1" defaultMemberUniqueName="[Calender_Type].[Date (Year)].[All]" allUniqueName="[Calender_Type].[Date (Year)].[All]" dimensionUniqueName="[Calender_Type]" displayFolder="" count="2" memberValueDatatype="130" unbalanced="0">
      <fieldsUsage count="2">
        <fieldUsage x="-1"/>
        <fieldUsage x="3"/>
      </fieldsUsage>
    </cacheHierarchy>
    <cacheHierarchy uniqueName="[Calender_Type].[Date (Quarter)]" caption="Date (Quarter)" attribute="1" defaultMemberUniqueName="[Calender_Type].[Date (Quarter)].[All]" allUniqueName="[Calender_Type].[Date (Quarter)].[All]" dimensionUniqueName="[Calender_Typ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er_Type].[Date (Day Index)]" caption="Date (Day Index)" attribute="1" defaultMemberUniqueName="[Calender_Type].[Date (Day Index)].[All]" allUniqueName="[Calender_Type].[Date (Day Index)].[All]" dimensionUniqueName="[Calender_Type]" displayFolder="" count="0" memberValueDatatype="5" unbalanced="0" hidden="1"/>
    <cacheHierarchy uniqueName="[Calender_Type].[Date (Month Index)]" caption="Date (Month Index)" attribute="1" defaultMemberUniqueName="[Calender_Type].[Date (Month Index)].[All]" allUniqueName="[Calender_Type].[Date (Month Index)].[All]" dimensionUniqueName="[Calender_Typ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Type]" caption="__XL_Count Calender_Type" measure="1" displayFolder="" measureGroup="Calender_Typ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oneField="1" hidden="1">
      <fieldsUsage count="1">
        <fieldUsage x="2"/>
      </fieldsUsage>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er_Type" uniqueName="[Calender_Type]" caption="Calender_Type"/>
    <dimension name="Hospital Emergency Room Data" uniqueName="[Hospital Emergency Room Data]" caption="Hospital Emergency Room Data"/>
    <dimension measure="1" name="Measures" uniqueName="[Measures]" caption="Measures"/>
  </dimensions>
  <measureGroups count="2">
    <measureGroup name="Calender_Type" caption="Calender_Typ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n Manjappa Naik" refreshedDate="46210.866659837964" createdVersion="5" refreshedVersion="8" minRefreshableVersion="3" recordCount="0" supportSubquery="1" supportAdvancedDrill="1" xr:uid="{29EB4F76-8FFC-46CB-A216-C7C44E1CACB8}">
  <cacheSource type="external" connectionId="3"/>
  <cacheFields count="4">
    <cacheField name="[Calender_Type].[Date (Day)].[Date (Day)]" caption="Date (Day)" numFmtId="0" hierarchy="2" level="1">
      <sharedItems count="31">
        <s v="1-Mar"/>
        <s v="2-Mar"/>
        <s v="3-Mar"/>
        <s v="4-Mar"/>
        <s v="5-Mar"/>
        <s v="6-Mar"/>
        <s v="7-Mar"/>
        <s v="8-Mar"/>
        <s v="9-Mar"/>
        <s v="10-Mar"/>
        <s v="11-Mar"/>
        <s v="12-Mar"/>
        <s v="13-Mar"/>
        <s v="14-Mar"/>
        <s v="15-Mar"/>
        <s v="16-Mar"/>
        <s v="17-Mar"/>
        <s v="18-Mar"/>
        <s v="19-Mar"/>
        <s v="20-Mar"/>
        <s v="21-Mar"/>
        <s v="22-Mar"/>
        <s v="23-Mar"/>
        <s v="24-Mar"/>
        <s v="25-Mar"/>
        <s v="26-Mar"/>
        <s v="27-Mar"/>
        <s v="28-Mar"/>
        <s v="29-Mar"/>
        <s v="30-Mar"/>
        <s v="31-Mar"/>
      </sharedItems>
    </cacheField>
    <cacheField name="[Calender_Type].[Date (Month)].[Date (Month)]" caption="Date (Month)" numFmtId="0" hierarchy="1" level="1">
      <sharedItems containsSemiMixedTypes="0" containsNonDate="0" containsString="0"/>
    </cacheField>
    <cacheField name="[Measures].[Average of Patient Satisfaction Score]" caption="Average of Patient Satisfaction Score" numFmtId="0" hierarchy="28" level="32767"/>
    <cacheField name="[Calender_Type].[Date (Year)].[Date (Year)]" caption="Date (Year)" numFmtId="0" hierarchy="3" level="1">
      <sharedItems containsSemiMixedTypes="0" containsNonDate="0" containsString="0"/>
    </cacheField>
  </cacheFields>
  <cacheHierarchies count="34">
    <cacheHierarchy uniqueName="[Calender_Type].[Date]" caption="Date" attribute="1" time="1" defaultMemberUniqueName="[Calender_Type].[Date].[All]" allUniqueName="[Calender_Type].[Date].[All]" dimensionUniqueName="[Calender_Type]" displayFolder="" count="0" memberValueDatatype="7" unbalanced="0"/>
    <cacheHierarchy uniqueName="[Calender_Type].[Date (Month)]" caption="Date (Month)" attribute="1" defaultMemberUniqueName="[Calender_Type].[Date (Month)].[All]" allUniqueName="[Calender_Type].[Date (Month)].[All]" dimensionUniqueName="[Calender_Type]" displayFolder="" count="2" memberValueDatatype="130" unbalanced="0">
      <fieldsUsage count="2">
        <fieldUsage x="-1"/>
        <fieldUsage x="1"/>
      </fieldsUsage>
    </cacheHierarchy>
    <cacheHierarchy uniqueName="[Calender_Type].[Date (Day)]" caption="Date (Day)" attribute="1" defaultMemberUniqueName="[Calender_Type].[Date (Day)].[All]" allUniqueName="[Calender_Type].[Date (Day)].[All]" dimensionUniqueName="[Calender_Type]" displayFolder="" count="2" memberValueDatatype="130" unbalanced="0">
      <fieldsUsage count="2">
        <fieldUsage x="-1"/>
        <fieldUsage x="0"/>
      </fieldsUsage>
    </cacheHierarchy>
    <cacheHierarchy uniqueName="[Calender_Type].[Date (Year)]" caption="Date (Year)" attribute="1" defaultMemberUniqueName="[Calender_Type].[Date (Year)].[All]" allUniqueName="[Calender_Type].[Date (Year)].[All]" dimensionUniqueName="[Calender_Type]" displayFolder="" count="2" memberValueDatatype="130" unbalanced="0">
      <fieldsUsage count="2">
        <fieldUsage x="-1"/>
        <fieldUsage x="3"/>
      </fieldsUsage>
    </cacheHierarchy>
    <cacheHierarchy uniqueName="[Calender_Type].[Date (Quarter)]" caption="Date (Quarter)" attribute="1" defaultMemberUniqueName="[Calender_Type].[Date (Quarter)].[All]" allUniqueName="[Calender_Type].[Date (Quarter)].[All]" dimensionUniqueName="[Calender_Typ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er_Type].[Date (Day Index)]" caption="Date (Day Index)" attribute="1" defaultMemberUniqueName="[Calender_Type].[Date (Day Index)].[All]" allUniqueName="[Calender_Type].[Date (Day Index)].[All]" dimensionUniqueName="[Calender_Type]" displayFolder="" count="0" memberValueDatatype="5" unbalanced="0" hidden="1"/>
    <cacheHierarchy uniqueName="[Calender_Type].[Date (Month Index)]" caption="Date (Month Index)" attribute="1" defaultMemberUniqueName="[Calender_Type].[Date (Month Index)].[All]" allUniqueName="[Calender_Type].[Date (Month Index)].[All]" dimensionUniqueName="[Calender_Typ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Type]" caption="__XL_Count Calender_Type" measure="1" displayFolder="" measureGroup="Calender_Typ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oneField="1" hidden="1">
      <fieldsUsage count="1">
        <fieldUsage x="2"/>
      </fieldsUsage>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er_Type" uniqueName="[Calender_Type]" caption="Calender_Type"/>
    <dimension name="Hospital Emergency Room Data" uniqueName="[Hospital Emergency Room Data]" caption="Hospital Emergency Room Data"/>
    <dimension measure="1" name="Measures" uniqueName="[Measures]" caption="Measures"/>
  </dimensions>
  <measureGroups count="2">
    <measureGroup name="Calender_Type" caption="Calender_Typ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n Manjappa Naik" refreshedDate="46210.866660532411" createdVersion="5" refreshedVersion="8" minRefreshableVersion="3" recordCount="0" supportSubquery="1" supportAdvancedDrill="1" xr:uid="{22F6C931-04B0-4EE0-810C-8BBB5E332790}">
  <cacheSource type="external" connectionId="3"/>
  <cacheFields count="5">
    <cacheField name="[Calender_Type].[Date (Month)].[Date (Month)]" caption="Date (Month)" numFmtId="0" hierarchy="1" level="1">
      <sharedItems containsSemiMixedTypes="0" containsNonDate="0" containsString="0"/>
    </cacheField>
    <cacheField name="[Hospital Emergency Room Data].[Patient Admission Flag].[Patient Admission Flag]" caption="Patient Admission Flag" numFmtId="0" hierarchy="13" level="1">
      <sharedItems count="2">
        <s v="Admitted"/>
        <s v="Not Admitted"/>
      </sharedItems>
    </cacheField>
    <cacheField name="[Measures].[Count of Patient Admission Flag]" caption="Count of Patient Admission Flag" numFmtId="0" hierarchy="29" level="32767"/>
    <cacheField name="[Calender_Type].[Date (Year)].[Date (Year)]" caption="Date (Year)" numFmtId="0" hierarchy="3" level="1">
      <sharedItems containsSemiMixedTypes="0" containsNonDate="0" containsString="0"/>
    </cacheField>
    <cacheField name="Unsupported0" numFmtId="0" hierarchy="34" level="32767">
      <extLst>
        <ext xmlns:x14="http://schemas.microsoft.com/office/spreadsheetml/2009/9/main" uri="{63CAB8AC-B538-458d-9737-405883B0398D}">
          <x14:cacheField ignore="1"/>
        </ext>
      </extLst>
    </cacheField>
  </cacheFields>
  <cacheHierarchies count="35">
    <cacheHierarchy uniqueName="[Calender_Type].[Date]" caption="Date" attribute="1" time="1" defaultMemberUniqueName="[Calender_Type].[Date].[All]" allUniqueName="[Calender_Type].[Date].[All]" dimensionUniqueName="[Calender_Type]" displayFolder="" count="0" memberValueDatatype="7" unbalanced="0"/>
    <cacheHierarchy uniqueName="[Calender_Type].[Date (Month)]" caption="Date (Month)" attribute="1" defaultMemberUniqueName="[Calender_Type].[Date (Month)].[All]" allUniqueName="[Calender_Type].[Date (Month)].[All]" dimensionUniqueName="[Calender_Type]" displayFolder="" count="2" memberValueDatatype="130" unbalanced="0">
      <fieldsUsage count="2">
        <fieldUsage x="-1"/>
        <fieldUsage x="0"/>
      </fieldsUsage>
    </cacheHierarchy>
    <cacheHierarchy uniqueName="[Calender_Type].[Date (Day)]" caption="Date (Day)" attribute="1" defaultMemberUniqueName="[Calender_Type].[Date (Day)].[All]" allUniqueName="[Calender_Type].[Date (Day)].[All]" dimensionUniqueName="[Calender_Type]" displayFolder="" count="0" memberValueDatatype="130" unbalanced="0"/>
    <cacheHierarchy uniqueName="[Calender_Type].[Date (Year)]" caption="Date (Year)" attribute="1" defaultMemberUniqueName="[Calender_Type].[Date (Year)].[All]" allUniqueName="[Calender_Type].[Date (Year)].[All]" dimensionUniqueName="[Calender_Type]" displayFolder="" count="2" memberValueDatatype="130" unbalanced="0">
      <fieldsUsage count="2">
        <fieldUsage x="-1"/>
        <fieldUsage x="3"/>
      </fieldsUsage>
    </cacheHierarchy>
    <cacheHierarchy uniqueName="[Calender_Type].[Date (Quarter)]" caption="Date (Quarter)" attribute="1" defaultMemberUniqueName="[Calender_Type].[Date (Quarter)].[All]" allUniqueName="[Calender_Type].[Date (Quarter)].[All]" dimensionUniqueName="[Calender_Typ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2" memberValueDatatype="130" unbalanced="0">
      <fieldsUsage count="2">
        <fieldUsage x="-1"/>
        <fieldUsage x="1"/>
      </fieldsUsage>
    </cacheHierarchy>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er_Type].[Date (Day Index)]" caption="Date (Day Index)" attribute="1" defaultMemberUniqueName="[Calender_Type].[Date (Day Index)].[All]" allUniqueName="[Calender_Type].[Date (Day Index)].[All]" dimensionUniqueName="[Calender_Type]" displayFolder="" count="0" memberValueDatatype="5" unbalanced="0" hidden="1"/>
    <cacheHierarchy uniqueName="[Calender_Type].[Date (Month Index)]" caption="Date (Month Index)" attribute="1" defaultMemberUniqueName="[Calender_Type].[Date (Month Index)].[All]" allUniqueName="[Calender_Type].[Date (Month Index)].[All]" dimensionUniqueName="[Calender_Typ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Type]" caption="__XL_Count Calender_Type" measure="1" displayFolder="" measureGroup="Calender_Typ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oneField="1" hidden="1">
      <fieldsUsage count="1">
        <fieldUsage x="2"/>
      </fieldsUsage>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y uniqueName="Unsupported0" caption="Date" measure="1" count="0">
      <extLst>
        <ext xmlns:x14="http://schemas.microsoft.com/office/spreadsheetml/2009/9/main" uri="{8CF416AD-EC4C-4aba-99F5-12A058AE0983}">
          <x14:cacheHierarchy ignore="1"/>
        </ext>
      </extLst>
    </cacheHierarchy>
  </cacheHierarchies>
  <kpis count="0"/>
  <dimensions count="3">
    <dimension name="Calender_Type" uniqueName="[Calender_Type]" caption="Calender_Type"/>
    <dimension name="Hospital Emergency Room Data" uniqueName="[Hospital Emergency Room Data]" caption="Hospital Emergency Room Data"/>
    <dimension measure="1" name="Measures" uniqueName="[Measures]" caption="Measures"/>
  </dimensions>
  <measureGroups count="2">
    <measureGroup name="Calender_Type" caption="Calender_Typ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n Manjappa Naik" refreshedDate="46210.866661111111" createdVersion="5" refreshedVersion="8" minRefreshableVersion="3" recordCount="0" supportSubquery="1" supportAdvancedDrill="1" xr:uid="{8E4C1F09-FBF4-48DB-8CBB-01649B222828}">
  <cacheSource type="external" connectionId="3"/>
  <cacheFields count="4">
    <cacheField name="[Calender_Type].[Date (Month)].[Date (Month)]" caption="Date (Month)" numFmtId="0" hierarchy="1" level="1">
      <sharedItems containsSemiMixedTypes="0" containsNonDate="0" containsString="0"/>
    </cacheField>
    <cacheField name="[Hospital Emergency Room Data].[Age Group].[Age Group]" caption="Age Group" numFmtId="0" hierarchy="16" level="1">
      <sharedItems count="8">
        <s v="0-09"/>
        <s v="10-19"/>
        <s v="20-29"/>
        <s v="30-39"/>
        <s v="40-49"/>
        <s v="50-59"/>
        <s v="60-69"/>
        <s v="70-79"/>
      </sharedItems>
    </cacheField>
    <cacheField name="[Measures].[Count of Age Group]" caption="Count of Age Group" numFmtId="0" hierarchy="30" level="32767"/>
    <cacheField name="[Calender_Type].[Date (Year)].[Date (Year)]" caption="Date (Year)" numFmtId="0" hierarchy="3" level="1">
      <sharedItems containsSemiMixedTypes="0" containsNonDate="0" containsString="0"/>
    </cacheField>
  </cacheFields>
  <cacheHierarchies count="34">
    <cacheHierarchy uniqueName="[Calender_Type].[Date]" caption="Date" attribute="1" time="1" defaultMemberUniqueName="[Calender_Type].[Date].[All]" allUniqueName="[Calender_Type].[Date].[All]" dimensionUniqueName="[Calender_Type]" displayFolder="" count="0" memberValueDatatype="7" unbalanced="0"/>
    <cacheHierarchy uniqueName="[Calender_Type].[Date (Month)]" caption="Date (Month)" attribute="1" defaultMemberUniqueName="[Calender_Type].[Date (Month)].[All]" allUniqueName="[Calender_Type].[Date (Month)].[All]" dimensionUniqueName="[Calender_Type]" displayFolder="" count="2" memberValueDatatype="130" unbalanced="0">
      <fieldsUsage count="2">
        <fieldUsage x="-1"/>
        <fieldUsage x="0"/>
      </fieldsUsage>
    </cacheHierarchy>
    <cacheHierarchy uniqueName="[Calender_Type].[Date (Day)]" caption="Date (Day)" attribute="1" defaultMemberUniqueName="[Calender_Type].[Date (Day)].[All]" allUniqueName="[Calender_Type].[Date (Day)].[All]" dimensionUniqueName="[Calender_Type]" displayFolder="" count="0" memberValueDatatype="130" unbalanced="0"/>
    <cacheHierarchy uniqueName="[Calender_Type].[Date (Year)]" caption="Date (Year)" attribute="1" defaultMemberUniqueName="[Calender_Type].[Date (Year)].[All]" allUniqueName="[Calender_Type].[Date (Year)].[All]" dimensionUniqueName="[Calender_Type]" displayFolder="" count="2" memberValueDatatype="130" unbalanced="0">
      <fieldsUsage count="2">
        <fieldUsage x="-1"/>
        <fieldUsage x="3"/>
      </fieldsUsage>
    </cacheHierarchy>
    <cacheHierarchy uniqueName="[Calender_Type].[Date (Quarter)]" caption="Date (Quarter)" attribute="1" defaultMemberUniqueName="[Calender_Type].[Date (Quarter)].[All]" allUniqueName="[Calender_Type].[Date (Quarter)].[All]" dimensionUniqueName="[Calender_Typ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2" memberValueDatatype="130" unbalanced="0">
      <fieldsUsage count="2">
        <fieldUsage x="-1"/>
        <fieldUsage x="1"/>
      </fieldsUsage>
    </cacheHierarchy>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er_Type].[Date (Day Index)]" caption="Date (Day Index)" attribute="1" defaultMemberUniqueName="[Calender_Type].[Date (Day Index)].[All]" allUniqueName="[Calender_Type].[Date (Day Index)].[All]" dimensionUniqueName="[Calender_Type]" displayFolder="" count="0" memberValueDatatype="5" unbalanced="0" hidden="1"/>
    <cacheHierarchy uniqueName="[Calender_Type].[Date (Month Index)]" caption="Date (Month Index)" attribute="1" defaultMemberUniqueName="[Calender_Type].[Date (Month Index)].[All]" allUniqueName="[Calender_Type].[Date (Month Index)].[All]" dimensionUniqueName="[Calender_Typ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Type]" caption="__XL_Count Calender_Type" measure="1" displayFolder="" measureGroup="Calender_Typ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oneField="1" hidden="1">
      <fieldsUsage count="1">
        <fieldUsage x="2"/>
      </fieldsUsage>
      <extLst>
        <ext xmlns:x15="http://schemas.microsoft.com/office/spreadsheetml/2010/11/main" uri="{B97F6D7D-B522-45F9-BDA1-12C45D357490}">
          <x15:cacheHierarchy aggregatedColumn="16"/>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er_Type" uniqueName="[Calender_Type]" caption="Calender_Type"/>
    <dimension name="Hospital Emergency Room Data" uniqueName="[Hospital Emergency Room Data]" caption="Hospital Emergency Room Data"/>
    <dimension measure="1" name="Measures" uniqueName="[Measures]" caption="Measures"/>
  </dimensions>
  <measureGroups count="2">
    <measureGroup name="Calender_Type" caption="Calender_Typ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n Manjappa Naik" refreshedDate="46210.866661689812" createdVersion="5" refreshedVersion="8" minRefreshableVersion="3" recordCount="0" supportSubquery="1" supportAdvancedDrill="1" xr:uid="{09C1F073-A187-4612-BF71-967324EC1CD8}">
  <cacheSource type="external" connectionId="3"/>
  <cacheFields count="4">
    <cacheField name="[Calender_Type].[Date (Month)].[Date (Month)]" caption="Date (Month)" numFmtId="0" hierarchy="1" level="1">
      <sharedItems containsSemiMixedTypes="0" containsNonDate="0" containsString="0"/>
    </cacheField>
    <cacheField name="[Hospital Emergency Room Data].[Patient attend Status].[Patient attend Status]" caption="Patient attend Status" numFmtId="0" hierarchy="17" level="1">
      <sharedItems count="2">
        <s v="Delay"/>
        <s v="Ontime"/>
      </sharedItems>
    </cacheField>
    <cacheField name="[Measures].[Count of Patient attend Status]" caption="Count of Patient attend Status" numFmtId="0" hierarchy="31" level="32767"/>
    <cacheField name="[Calender_Type].[Date (Year)].[Date (Year)]" caption="Date (Year)" numFmtId="0" hierarchy="3" level="1">
      <sharedItems containsSemiMixedTypes="0" containsNonDate="0" containsString="0"/>
    </cacheField>
  </cacheFields>
  <cacheHierarchies count="34">
    <cacheHierarchy uniqueName="[Calender_Type].[Date]" caption="Date" attribute="1" time="1" defaultMemberUniqueName="[Calender_Type].[Date].[All]" allUniqueName="[Calender_Type].[Date].[All]" dimensionUniqueName="[Calender_Type]" displayFolder="" count="0" memberValueDatatype="7" unbalanced="0"/>
    <cacheHierarchy uniqueName="[Calender_Type].[Date (Month)]" caption="Date (Month)" attribute="1" defaultMemberUniqueName="[Calender_Type].[Date (Month)].[All]" allUniqueName="[Calender_Type].[Date (Month)].[All]" dimensionUniqueName="[Calender_Type]" displayFolder="" count="2" memberValueDatatype="130" unbalanced="0">
      <fieldsUsage count="2">
        <fieldUsage x="-1"/>
        <fieldUsage x="0"/>
      </fieldsUsage>
    </cacheHierarchy>
    <cacheHierarchy uniqueName="[Calender_Type].[Date (Day)]" caption="Date (Day)" attribute="1" defaultMemberUniqueName="[Calender_Type].[Date (Day)].[All]" allUniqueName="[Calender_Type].[Date (Day)].[All]" dimensionUniqueName="[Calender_Type]" displayFolder="" count="0" memberValueDatatype="130" unbalanced="0"/>
    <cacheHierarchy uniqueName="[Calender_Type].[Date (Year)]" caption="Date (Year)" attribute="1" defaultMemberUniqueName="[Calender_Type].[Date (Year)].[All]" allUniqueName="[Calender_Type].[Date (Year)].[All]" dimensionUniqueName="[Calender_Type]" displayFolder="" count="2" memberValueDatatype="130" unbalanced="0">
      <fieldsUsage count="2">
        <fieldUsage x="-1"/>
        <fieldUsage x="3"/>
      </fieldsUsage>
    </cacheHierarchy>
    <cacheHierarchy uniqueName="[Calender_Type].[Date (Quarter)]" caption="Date (Quarter)" attribute="1" defaultMemberUniqueName="[Calender_Type].[Date (Quarter)].[All]" allUniqueName="[Calender_Type].[Date (Quarter)].[All]" dimensionUniqueName="[Calender_Typ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2" memberValueDatatype="130" unbalanced="0">
      <fieldsUsage count="2">
        <fieldUsage x="-1"/>
        <fieldUsage x="1"/>
      </fieldsUsage>
    </cacheHierarchy>
    <cacheHierarchy uniqueName="[Calender_Type].[Date (Day Index)]" caption="Date (Day Index)" attribute="1" defaultMemberUniqueName="[Calender_Type].[Date (Day Index)].[All]" allUniqueName="[Calender_Type].[Date (Day Index)].[All]" dimensionUniqueName="[Calender_Type]" displayFolder="" count="0" memberValueDatatype="5" unbalanced="0" hidden="1"/>
    <cacheHierarchy uniqueName="[Calender_Type].[Date (Month Index)]" caption="Date (Month Index)" attribute="1" defaultMemberUniqueName="[Calender_Type].[Date (Month Index)].[All]" allUniqueName="[Calender_Type].[Date (Month Index)].[All]" dimensionUniqueName="[Calender_Typ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Type]" caption="__XL_Count Calender_Type" measure="1" displayFolder="" measureGroup="Calender_Typ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ttend Status]" caption="Count of Patient attend Status" measure="1" displayFolder="" measureGroup="Hospital Emergency Room Data" count="0" oneField="1" hidden="1">
      <fieldsUsage count="1">
        <fieldUsage x="2"/>
      </fieldsUsage>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er_Type" uniqueName="[Calender_Type]" caption="Calender_Type"/>
    <dimension name="Hospital Emergency Room Data" uniqueName="[Hospital Emergency Room Data]" caption="Hospital Emergency Room Data"/>
    <dimension measure="1" name="Measures" uniqueName="[Measures]" caption="Measures"/>
  </dimensions>
  <measureGroups count="2">
    <measureGroup name="Calender_Type" caption="Calender_Typ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n Manjappa Naik" refreshedDate="46210.86666226852" createdVersion="5" refreshedVersion="8" minRefreshableVersion="3" recordCount="0" supportSubquery="1" supportAdvancedDrill="1" xr:uid="{EE5E6DAD-E0EC-457F-ACD3-78FB08E07562}">
  <cacheSource type="external" connectionId="3"/>
  <cacheFields count="4">
    <cacheField name="[Calender_Type].[Date (Month)].[Date (Month)]" caption="Date (Month)" numFmtId="0" hierarchy="1" level="1">
      <sharedItems containsSemiMixedTypes="0" containsNonDate="0" containsString="0"/>
    </cacheField>
    <cacheField name="[Hospital Emergency Room Data].[Patient Gender].[Patient Gender]" caption="Patient Gender" numFmtId="0" hierarchy="9" level="1">
      <sharedItems count="2">
        <s v="Female"/>
        <s v="Male"/>
      </sharedItems>
    </cacheField>
    <cacheField name="[Measures].[Count of Patient Gender]" caption="Count of Patient Gender" numFmtId="0" hierarchy="32" level="32767"/>
    <cacheField name="[Calender_Type].[Date (Year)].[Date (Year)]" caption="Date (Year)" numFmtId="0" hierarchy="3" level="1">
      <sharedItems containsSemiMixedTypes="0" containsNonDate="0" containsString="0"/>
    </cacheField>
  </cacheFields>
  <cacheHierarchies count="34">
    <cacheHierarchy uniqueName="[Calender_Type].[Date]" caption="Date" attribute="1" time="1" defaultMemberUniqueName="[Calender_Type].[Date].[All]" allUniqueName="[Calender_Type].[Date].[All]" dimensionUniqueName="[Calender_Type]" displayFolder="" count="0" memberValueDatatype="7" unbalanced="0"/>
    <cacheHierarchy uniqueName="[Calender_Type].[Date (Month)]" caption="Date (Month)" attribute="1" defaultMemberUniqueName="[Calender_Type].[Date (Month)].[All]" allUniqueName="[Calender_Type].[Date (Month)].[All]" dimensionUniqueName="[Calender_Type]" displayFolder="" count="2" memberValueDatatype="130" unbalanced="0">
      <fieldsUsage count="2">
        <fieldUsage x="-1"/>
        <fieldUsage x="0"/>
      </fieldsUsage>
    </cacheHierarchy>
    <cacheHierarchy uniqueName="[Calender_Type].[Date (Day)]" caption="Date (Day)" attribute="1" defaultMemberUniqueName="[Calender_Type].[Date (Day)].[All]" allUniqueName="[Calender_Type].[Date (Day)].[All]" dimensionUniqueName="[Calender_Type]" displayFolder="" count="0" memberValueDatatype="130" unbalanced="0"/>
    <cacheHierarchy uniqueName="[Calender_Type].[Date (Year)]" caption="Date (Year)" attribute="1" defaultMemberUniqueName="[Calender_Type].[Date (Year)].[All]" allUniqueName="[Calender_Type].[Date (Year)].[All]" dimensionUniqueName="[Calender_Type]" displayFolder="" count="2" memberValueDatatype="130" unbalanced="0">
      <fieldsUsage count="2">
        <fieldUsage x="-1"/>
        <fieldUsage x="3"/>
      </fieldsUsage>
    </cacheHierarchy>
    <cacheHierarchy uniqueName="[Calender_Type].[Date (Quarter)]" caption="Date (Quarter)" attribute="1" defaultMemberUniqueName="[Calender_Type].[Date (Quarter)].[All]" allUniqueName="[Calender_Type].[Date (Quarter)].[All]" dimensionUniqueName="[Calender_Typ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2" memberValueDatatype="130" unbalanced="0">
      <fieldsUsage count="2">
        <fieldUsage x="-1"/>
        <fieldUsage x="1"/>
      </fieldsUsage>
    </cacheHierarchy>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er_Type].[Date (Day Index)]" caption="Date (Day Index)" attribute="1" defaultMemberUniqueName="[Calender_Type].[Date (Day Index)].[All]" allUniqueName="[Calender_Type].[Date (Day Index)].[All]" dimensionUniqueName="[Calender_Type]" displayFolder="" count="0" memberValueDatatype="5" unbalanced="0" hidden="1"/>
    <cacheHierarchy uniqueName="[Calender_Type].[Date (Month Index)]" caption="Date (Month Index)" attribute="1" defaultMemberUniqueName="[Calender_Type].[Date (Month Index)].[All]" allUniqueName="[Calender_Type].[Date (Month Index)].[All]" dimensionUniqueName="[Calender_Typ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Type]" caption="__XL_Count Calender_Type" measure="1" displayFolder="" measureGroup="Calender_Typ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oneField="1" hidden="1">
      <fieldsUsage count="1">
        <fieldUsage x="2"/>
      </fieldsUsage>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er_Type" uniqueName="[Calender_Type]" caption="Calender_Type"/>
    <dimension name="Hospital Emergency Room Data" uniqueName="[Hospital Emergency Room Data]" caption="Hospital Emergency Room Data"/>
    <dimension measure="1" name="Measures" uniqueName="[Measures]" caption="Measures"/>
  </dimensions>
  <measureGroups count="2">
    <measureGroup name="Calender_Type" caption="Calender_Typ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n Manjappa Naik" refreshedDate="46210.866663541667" createdVersion="5" refreshedVersion="8" minRefreshableVersion="3" recordCount="0" supportSubquery="1" supportAdvancedDrill="1" xr:uid="{E165FAD0-58CC-441C-926D-58891835A06A}">
  <cacheSource type="external" connectionId="3"/>
  <cacheFields count="4">
    <cacheField name="[Calender_Type].[Date (Month)].[Date (Month)]" caption="Date (Month)" numFmtId="0" hierarchy="1" level="1">
      <sharedItems containsSemiMixedTypes="0" containsNonDate="0" containsString="0"/>
    </cacheField>
    <cacheField name="[Hospital Emergency Room Data].[Department Referral].[Department Referral]" caption="Department Referral" numFmtId="0" hierarchy="12" level="1">
      <sharedItems count="8">
        <s v="Cardiology"/>
        <s v="Gastroenterology"/>
        <s v="General Practice"/>
        <s v="Neurology"/>
        <s v="None"/>
        <s v="Orthopedics"/>
        <s v="Physiotherapy"/>
        <s v="Renal"/>
      </sharedItems>
    </cacheField>
    <cacheField name="[Measures].[Count of Department Referral]" caption="Count of Department Referral" numFmtId="0" hierarchy="33" level="32767"/>
    <cacheField name="[Calender_Type].[Date (Year)].[Date (Year)]" caption="Date (Year)" numFmtId="0" hierarchy="3" level="1">
      <sharedItems containsSemiMixedTypes="0" containsNonDate="0" containsString="0"/>
    </cacheField>
  </cacheFields>
  <cacheHierarchies count="34">
    <cacheHierarchy uniqueName="[Calender_Type].[Date]" caption="Date" attribute="1" time="1" defaultMemberUniqueName="[Calender_Type].[Date].[All]" allUniqueName="[Calender_Type].[Date].[All]" dimensionUniqueName="[Calender_Type]" displayFolder="" count="0" memberValueDatatype="7" unbalanced="0"/>
    <cacheHierarchy uniqueName="[Calender_Type].[Date (Month)]" caption="Date (Month)" attribute="1" defaultMemberUniqueName="[Calender_Type].[Date (Month)].[All]" allUniqueName="[Calender_Type].[Date (Month)].[All]" dimensionUniqueName="[Calender_Type]" displayFolder="" count="2" memberValueDatatype="130" unbalanced="0">
      <fieldsUsage count="2">
        <fieldUsage x="-1"/>
        <fieldUsage x="0"/>
      </fieldsUsage>
    </cacheHierarchy>
    <cacheHierarchy uniqueName="[Calender_Type].[Date (Day)]" caption="Date (Day)" attribute="1" defaultMemberUniqueName="[Calender_Type].[Date (Day)].[All]" allUniqueName="[Calender_Type].[Date (Day)].[All]" dimensionUniqueName="[Calender_Type]" displayFolder="" count="0" memberValueDatatype="130" unbalanced="0"/>
    <cacheHierarchy uniqueName="[Calender_Type].[Date (Year)]" caption="Date (Year)" attribute="1" defaultMemberUniqueName="[Calender_Type].[Date (Year)].[All]" allUniqueName="[Calender_Type].[Date (Year)].[All]" dimensionUniqueName="[Calender_Type]" displayFolder="" count="2" memberValueDatatype="130" unbalanced="0">
      <fieldsUsage count="2">
        <fieldUsage x="-1"/>
        <fieldUsage x="3"/>
      </fieldsUsage>
    </cacheHierarchy>
    <cacheHierarchy uniqueName="[Calender_Type].[Date (Quarter)]" caption="Date (Quarter)" attribute="1" defaultMemberUniqueName="[Calender_Type].[Date (Quarter)].[All]" allUniqueName="[Calender_Type].[Date (Quarter)].[All]" dimensionUniqueName="[Calender_Typ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2" memberValueDatatype="130" unbalanced="0">
      <fieldsUsage count="2">
        <fieldUsage x="-1"/>
        <fieldUsage x="1"/>
      </fieldsUsage>
    </cacheHierarchy>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er_Type].[Date (Day Index)]" caption="Date (Day Index)" attribute="1" defaultMemberUniqueName="[Calender_Type].[Date (Day Index)].[All]" allUniqueName="[Calender_Type].[Date (Day Index)].[All]" dimensionUniqueName="[Calender_Type]" displayFolder="" count="0" memberValueDatatype="5" unbalanced="0" hidden="1"/>
    <cacheHierarchy uniqueName="[Calender_Type].[Date (Month Index)]" caption="Date (Month Index)" attribute="1" defaultMemberUniqueName="[Calender_Type].[Date (Month Index)].[All]" allUniqueName="[Calender_Type].[Date (Month Index)].[All]" dimensionUniqueName="[Calender_Typ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Type]" caption="__XL_Count Calender_Type" measure="1" displayFolder="" measureGroup="Calender_Typ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oneField="1" hidden="1">
      <fieldsUsage count="1">
        <fieldUsage x="2"/>
      </fieldsUsage>
      <extLst>
        <ext xmlns:x15="http://schemas.microsoft.com/office/spreadsheetml/2010/11/main" uri="{B97F6D7D-B522-45F9-BDA1-12C45D357490}">
          <x15:cacheHierarchy aggregatedColumn="12"/>
        </ext>
      </extLst>
    </cacheHierarchy>
  </cacheHierarchies>
  <kpis count="0"/>
  <dimensions count="3">
    <dimension name="Calender_Type" uniqueName="[Calender_Type]" caption="Calender_Type"/>
    <dimension name="Hospital Emergency Room Data" uniqueName="[Hospital Emergency Room Data]" caption="Hospital Emergency Room Data"/>
    <dimension measure="1" name="Measures" uniqueName="[Measures]" caption="Measures"/>
  </dimensions>
  <measureGroups count="2">
    <measureGroup name="Calender_Type" caption="Calender_Typ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n Manjappa Naik" refreshedDate="46210.866664120367" createdVersion="5" refreshedVersion="8" minRefreshableVersion="3" recordCount="0" supportSubquery="1" supportAdvancedDrill="1" xr:uid="{0CE382C5-5A1C-4EA1-B53F-4E1C45B182E5}">
  <cacheSource type="external" connectionId="3"/>
  <cacheFields count="4">
    <cacheField name="[Calender_Type].[Date (Month)].[Date (Month)]" caption="Date (Month)" numFmtId="0" hierarchy="1" level="1">
      <sharedItems count="1">
        <s v="Mar"/>
      </sharedItems>
    </cacheField>
    <cacheField name="[Calender_Type].[Date].[Date]" caption="Date" numFmtId="0" level="1">
      <sharedItems containsSemiMixedTypes="0" containsNonDate="0" containsDate="1" containsString="0" minDate="2024-03-01T00:00:00" maxDate="2024-04-01T00:00:00" count="31">
        <d v="2024-03-01T00:00:00"/>
        <d v="2024-03-02T00:00:00"/>
        <d v="2024-03-03T00:00:00"/>
        <d v="2024-03-04T00:00:00"/>
        <d v="2024-03-05T00:00:00"/>
        <d v="2024-03-06T00:00:00"/>
        <d v="2024-03-07T00:00:00"/>
        <d v="2024-03-08T00:00:00"/>
        <d v="2024-03-09T00:00:00"/>
        <d v="2024-03-10T00:00:00"/>
        <d v="2024-03-11T00:00:00"/>
        <d v="2024-03-12T00:00:00"/>
        <d v="2024-03-13T00:00:00"/>
        <d v="2024-03-14T00:00:00"/>
        <d v="2024-03-15T00:00:00"/>
        <d v="2024-03-16T00:00:00"/>
        <d v="2024-03-17T00:00:00"/>
        <d v="2024-03-18T00:00:00"/>
        <d v="2024-03-19T00:00:00"/>
        <d v="2024-03-20T00:00:00"/>
        <d v="2024-03-21T00:00:00"/>
        <d v="2024-03-22T00:00:00"/>
        <d v="2024-03-23T00:00:00"/>
        <d v="2024-03-24T00:00:00"/>
        <d v="2024-03-25T00:00:00"/>
        <d v="2024-03-26T00:00:00"/>
        <d v="2024-03-27T00:00:00"/>
        <d v="2024-03-28T00:00:00"/>
        <d v="2024-03-29T00:00:00"/>
        <d v="2024-03-30T00:00:00"/>
        <d v="2024-03-31T00:00:00"/>
      </sharedItems>
    </cacheField>
    <cacheField name="[Calender_Type].[Date (Quarter)].[Date (Quarter)]" caption="Date (Quarter)" numFmtId="0" hierarchy="4" level="1">
      <sharedItems count="1">
        <s v="Qtr1"/>
      </sharedItems>
    </cacheField>
    <cacheField name="[Calender_Type].[Date (Year)].[Date (Year)]" caption="Date (Year)" numFmtId="0" hierarchy="3" level="1">
      <sharedItems count="1">
        <s v="2024"/>
      </sharedItems>
    </cacheField>
  </cacheFields>
  <cacheHierarchies count="34">
    <cacheHierarchy uniqueName="[Calender_Type].[Date]" caption="Date" attribute="1" time="1" defaultMemberUniqueName="[Calender_Type].[Date].[All]" allUniqueName="[Calender_Type].[Date].[All]" dimensionUniqueName="[Calender_Type]" displayFolder="" count="2" memberValueDatatype="7" unbalanced="0">
      <fieldsUsage count="2">
        <fieldUsage x="-1"/>
        <fieldUsage x="1"/>
      </fieldsUsage>
    </cacheHierarchy>
    <cacheHierarchy uniqueName="[Calender_Type].[Date (Month)]" caption="Date (Month)" attribute="1" defaultMemberUniqueName="[Calender_Type].[Date (Month)].[All]" allUniqueName="[Calender_Type].[Date (Month)].[All]" dimensionUniqueName="[Calender_Type]" displayFolder="" count="2" memberValueDatatype="130" unbalanced="0">
      <fieldsUsage count="2">
        <fieldUsage x="-1"/>
        <fieldUsage x="0"/>
      </fieldsUsage>
    </cacheHierarchy>
    <cacheHierarchy uniqueName="[Calender_Type].[Date (Day)]" caption="Date (Day)" attribute="1" defaultMemberUniqueName="[Calender_Type].[Date (Day)].[All]" allUniqueName="[Calender_Type].[Date (Day)].[All]" dimensionUniqueName="[Calender_Type]" displayFolder="" count="2" memberValueDatatype="130" unbalanced="0"/>
    <cacheHierarchy uniqueName="[Calender_Type].[Date (Year)]" caption="Date (Year)" attribute="1" defaultMemberUniqueName="[Calender_Type].[Date (Year)].[All]" allUniqueName="[Calender_Type].[Date (Year)].[All]" dimensionUniqueName="[Calender_Type]" displayFolder="" count="2" memberValueDatatype="130" unbalanced="0">
      <fieldsUsage count="2">
        <fieldUsage x="-1"/>
        <fieldUsage x="3"/>
      </fieldsUsage>
    </cacheHierarchy>
    <cacheHierarchy uniqueName="[Calender_Type].[Date (Quarter)]" caption="Date (Quarter)" attribute="1" defaultMemberUniqueName="[Calender_Type].[Date (Quarter)].[All]" allUniqueName="[Calender_Type].[Date (Quarter)].[All]" dimensionUniqueName="[Calender_Type]" displayFolder="" count="2" memberValueDatatype="130" unbalanced="0">
      <fieldsUsage count="2">
        <fieldUsage x="-1"/>
        <fieldUsage x="2"/>
      </fieldsUsage>
    </cacheHierarchy>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2"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2"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2"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2"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2"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2"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2"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2"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2"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2"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2"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2"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2" memberValueDatatype="130" unbalanced="0"/>
    <cacheHierarchy uniqueName="[Calender_Type].[Date (Day Index)]" caption="Date (Day Index)" attribute="1" defaultMemberUniqueName="[Calender_Type].[Date (Day Index)].[All]" allUniqueName="[Calender_Type].[Date (Day Index)].[All]" dimensionUniqueName="[Calender_Type]" displayFolder="" count="2" memberValueDatatype="5" unbalanced="0" hidden="1"/>
    <cacheHierarchy uniqueName="[Calender_Type].[Date (Month Index)]" caption="Date (Month Index)" attribute="1" defaultMemberUniqueName="[Calender_Type].[Date (Month Index)].[All]" allUniqueName="[Calender_Type].[Date (Month Index)].[All]" dimensionUniqueName="[Calender_Type]" displayFolder="" count="2"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Type]" caption="__XL_Count Calender_Type" measure="1" displayFolder="" measureGroup="Calender_Typ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dimensions count="3">
    <dimension name="Calender_Type" uniqueName="[Calender_Type]" caption="Calender_Type"/>
    <dimension name="Hospital Emergency Room Data" uniqueName="[Hospital Emergency Room Data]" caption="Hospital Emergency Room Data"/>
    <dimension measure="1" name="Measures" uniqueName="[Measures]" caption="Measures"/>
  </dimensions>
  <measureGroups count="2">
    <measureGroup name="Calender_Type" caption="Calender_Type"/>
    <measureGroup name="Hospital Emergency Room Data" caption="Hospital Emergency Room 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Mohan Manjappa Naik" refreshedDate="45824.935665740741" createdVersion="3" refreshedVersion="8" minRefreshableVersion="3" recordCount="0" supportSubquery="1" supportAdvancedDrill="1" xr:uid="{F61CEBFF-C857-42A0-957F-6040EB804E85}">
  <cacheSource type="external" connectionId="3">
    <extLst>
      <ext xmlns:x14="http://schemas.microsoft.com/office/spreadsheetml/2009/9/main" uri="{F057638F-6D5F-4e77-A914-E7F072B9BCA8}">
        <x14:sourceConnection name="ThisWorkbookDataModel"/>
      </ext>
    </extLst>
  </cacheSource>
  <cacheFields count="0"/>
  <cacheHierarchies count="34">
    <cacheHierarchy uniqueName="[Calender_Type].[Date]" caption="Date" attribute="1" time="1" defaultMemberUniqueName="[Calender_Type].[Date].[All]" allUniqueName="[Calender_Type].[Date].[All]" dimensionUniqueName="[Calender_Type]" displayFolder="" count="0" memberValueDatatype="7" unbalanced="0"/>
    <cacheHierarchy uniqueName="[Calender_Type].[Date (Month)]" caption="Date (Month)" attribute="1" defaultMemberUniqueName="[Calender_Type].[Date (Month)].[All]" allUniqueName="[Calender_Type].[Date (Month)].[All]" dimensionUniqueName="[Calender_Type]" displayFolder="" count="2" memberValueDatatype="130" unbalanced="0"/>
    <cacheHierarchy uniqueName="[Calender_Type].[Date (Day)]" caption="Date (Day)" attribute="1" defaultMemberUniqueName="[Calender_Type].[Date (Day)].[All]" allUniqueName="[Calender_Type].[Date (Day)].[All]" dimensionUniqueName="[Calender_Type]" displayFolder="" count="0" memberValueDatatype="130" unbalanced="0"/>
    <cacheHierarchy uniqueName="[Calender_Type].[Date (Year)]" caption="Date (Year)" attribute="1" defaultMemberUniqueName="[Calender_Type].[Date (Year)].[All]" allUniqueName="[Calender_Type].[Date (Year)].[All]" dimensionUniqueName="[Calender_Type]" displayFolder="" count="2" memberValueDatatype="130" unbalanced="0"/>
    <cacheHierarchy uniqueName="[Calender_Type].[Date (Quarter)]" caption="Date (Quarter)" attribute="1" defaultMemberUniqueName="[Calender_Type].[Date (Quarter)].[All]" allUniqueName="[Calender_Type].[Date (Quarter)].[All]" dimensionUniqueName="[Calender_Type]" displayFolder="" count="0" memberValueDatatype="130" unbalanced="0"/>
    <cacheHierarchy uniqueName="[Hospital Emergency Room Data].[Patient Id]" caption="Patient Id" attribute="1" defaultMemberUniqueName="[Hospital Emergency Room Data].[Patient Id].[All]" allUniqueName="[Hospital Emergency Room Data].[Patient Id].[All]" dimensionUniqueName="[Hospital Emergency Room Data]" displayFolder="" count="0" memberValueDatatype="130" unbalanced="0"/>
    <cacheHierarchy uniqueName="[Hospital Emergency Room Data].[Patient Admission Date]" caption="Patient Admission Date" attribute="1" time="1" defaultMemberUniqueName="[Hospital Emergency Room Data].[Patient Admission Date].[All]" allUniqueName="[Hospital Emergency Room Data].[Patient Admission Date].[All]" dimensionUniqueName="[Hospital Emergency Room Data]" displayFolder="" count="0" memberValueDatatype="7" unbalanced="0"/>
    <cacheHierarchy uniqueName="[Hospital Emergency Room Data].[Patient Admission Time]" caption="Patient Admission Time" attribute="1" time="1" defaultMemberUniqueName="[Hospital Emergency Room Data].[Patient Admission Time].[All]" allUniqueName="[Hospital Emergency Room Data].[Patient Admission Time].[All]" dimensionUniqueName="[Hospital Emergency Room Data]" displayFolder="" count="0" memberValueDatatype="7" unbalanced="0"/>
    <cacheHierarchy uniqueName="[Hospital Emergency Room Data].[Merged]" caption="Merged" attribute="1" defaultMemberUniqueName="[Hospital Emergency Room Data].[Merged].[All]" allUniqueName="[Hospital Emergency Room Data].[Merged].[All]" dimensionUniqueName="[Hospital Emergency Room Data]" displayFolder="" count="0" memberValueDatatype="130" unbalanced="0"/>
    <cacheHierarchy uniqueName="[Hospital Emergency Room Data].[Patient Gender]" caption="Patient Gender" attribute="1" defaultMemberUniqueName="[Hospital Emergency Room Data].[Patient Gender].[All]" allUniqueName="[Hospital Emergency Room Data].[Patient Gender].[All]" dimensionUniqueName="[Hospital Emergency Room Data]" displayFolder="" count="0" memberValueDatatype="130" unbalanced="0"/>
    <cacheHierarchy uniqueName="[Hospital Emergency Room Data].[Patient Age]" caption="Patient Age" attribute="1" defaultMemberUniqueName="[Hospital Emergency Room Data].[Patient Age].[All]" allUniqueName="[Hospital Emergency Room Data].[Patient Age].[All]" dimensionUniqueName="[Hospital Emergency Room Data]" displayFolder="" count="0" memberValueDatatype="20" unbalanced="0"/>
    <cacheHierarchy uniqueName="[Hospital Emergency Room Data].[Patient Race]" caption="Patient Race" attribute="1" defaultMemberUniqueName="[Hospital Emergency Room Data].[Patient Race].[All]" allUniqueName="[Hospital Emergency Room Data].[Patient Race].[All]" dimensionUniqueName="[Hospital Emergency Room Data]" displayFolder="" count="0" memberValueDatatype="130" unbalanced="0"/>
    <cacheHierarchy uniqueName="[Hospital Emergency Room Data].[Department Referral]" caption="Department Referral" attribute="1" defaultMemberUniqueName="[Hospital Emergency Room Data].[Department Referral].[All]" allUniqueName="[Hospital Emergency Room Data].[Department Referral].[All]" dimensionUniqueName="[Hospital Emergency Room Data]" displayFolder="" count="0" memberValueDatatype="130" unbalanced="0"/>
    <cacheHierarchy uniqueName="[Hospital Emergency Room Data].[Patient Admission Flag]" caption="Patient Admission Flag" attribute="1" defaultMemberUniqueName="[Hospital Emergency Room Data].[Patient Admission Flag].[All]" allUniqueName="[Hospital Emergency Room Data].[Patient Admission Flag].[All]" dimensionUniqueName="[Hospital Emergency Room Data]" displayFolder="" count="0" memberValueDatatype="130" unbalanced="0"/>
    <cacheHierarchy uniqueName="[Hospital Emergency Room Data].[Patient Satisfaction Score]" caption="Patient Satisfaction Score" attribute="1" defaultMemberUniqueName="[Hospital Emergency Room Data].[Patient Satisfaction Score].[All]" allUniqueName="[Hospital Emergency Room Data].[Patient Satisfaction Score].[All]" dimensionUniqueName="[Hospital Emergency Room Data]" displayFolder="" count="0" memberValueDatatype="20" unbalanced="0"/>
    <cacheHierarchy uniqueName="[Hospital Emergency Room Data].[Patient Waittime]" caption="Patient Waittime" attribute="1" defaultMemberUniqueName="[Hospital Emergency Room Data].[Patient Waittime].[All]" allUniqueName="[Hospital Emergency Room Data].[Patient Waittime].[All]" dimensionUniqueName="[Hospital Emergency Room Data]" displayFolder="" count="0" memberValueDatatype="20" unbalanced="0"/>
    <cacheHierarchy uniqueName="[Hospital Emergency Room Data].[Age Group]" caption="Age Group" attribute="1" defaultMemberUniqueName="[Hospital Emergency Room Data].[Age Group].[All]" allUniqueName="[Hospital Emergency Room Data].[Age Group].[All]" dimensionUniqueName="[Hospital Emergency Room Data]" displayFolder="" count="0" memberValueDatatype="130" unbalanced="0"/>
    <cacheHierarchy uniqueName="[Hospital Emergency Room Data].[Patient attend Status]" caption="Patient attend Status" attribute="1" defaultMemberUniqueName="[Hospital Emergency Room Data].[Patient attend Status].[All]" allUniqueName="[Hospital Emergency Room Data].[Patient attend Status].[All]" dimensionUniqueName="[Hospital Emergency Room Data]" displayFolder="" count="0" memberValueDatatype="130" unbalanced="0"/>
    <cacheHierarchy uniqueName="[Calender_Type].[Date (Day Index)]" caption="Date (Day Index)" attribute="1" defaultMemberUniqueName="[Calender_Type].[Date (Day Index)].[All]" allUniqueName="[Calender_Type].[Date (Day Index)].[All]" dimensionUniqueName="[Calender_Type]" displayFolder="" count="0" memberValueDatatype="5" unbalanced="0" hidden="1"/>
    <cacheHierarchy uniqueName="[Calender_Type].[Date (Month Index)]" caption="Date (Month Index)" attribute="1" defaultMemberUniqueName="[Calender_Type].[Date (Month Index)].[All]" allUniqueName="[Calender_Type].[Date (Month Index)].[All]" dimensionUniqueName="[Calender_Type]" displayFolder="" count="0" memberValueDatatype="20" unbalanced="0" hidden="1"/>
    <cacheHierarchy uniqueName="[Measures].[__XL_Count Hospital Emergency Room Data]" caption="__XL_Count Hospital Emergency Room Data" measure="1" displayFolder="" measureGroup="Hospital Emergency Room Data" count="0" hidden="1"/>
    <cacheHierarchy uniqueName="[Measures].[__XL_Count Calender_Type]" caption="__XL_Count Calender_Type" measure="1" displayFolder="" measureGroup="Calender_Type" count="0" hidden="1"/>
    <cacheHierarchy uniqueName="[Measures].[__No measures defined]" caption="__No measures defined" measure="1" displayFolder="" count="0" hidden="1"/>
    <cacheHierarchy uniqueName="[Measures].[Count of Patient Id]" caption="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Distinct Count of Patient Id]" caption="Distinct Count of Patient Id" measure="1" displayFolder="" measureGroup="Hospital Emergency Room Data" count="0" hidden="1">
      <extLst>
        <ext xmlns:x15="http://schemas.microsoft.com/office/spreadsheetml/2010/11/main" uri="{B97F6D7D-B522-45F9-BDA1-12C45D357490}">
          <x15:cacheHierarchy aggregatedColumn="5"/>
        </ext>
      </extLst>
    </cacheHierarchy>
    <cacheHierarchy uniqueName="[Measures].[Sum of Patient Waittime]" caption="Sum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Average of Patient Waittime]" caption="Average of Patient Waittime" measure="1" displayFolder="" measureGroup="Hospital Emergency Room Data" count="0" hidden="1">
      <extLst>
        <ext xmlns:x15="http://schemas.microsoft.com/office/spreadsheetml/2010/11/main" uri="{B97F6D7D-B522-45F9-BDA1-12C45D357490}">
          <x15:cacheHierarchy aggregatedColumn="15"/>
        </ext>
      </extLst>
    </cacheHierarchy>
    <cacheHierarchy uniqueName="[Measures].[Sum of Patient Satisfaction Score]" caption="Sum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Average of Patient Satisfaction Score]" caption="Average of Patient Satisfaction Score" measure="1" displayFolder="" measureGroup="Hospital Emergency Room Data" count="0" hidden="1">
      <extLst>
        <ext xmlns:x15="http://schemas.microsoft.com/office/spreadsheetml/2010/11/main" uri="{B97F6D7D-B522-45F9-BDA1-12C45D357490}">
          <x15:cacheHierarchy aggregatedColumn="14"/>
        </ext>
      </extLst>
    </cacheHierarchy>
    <cacheHierarchy uniqueName="[Measures].[Count of Patient Admission Flag]" caption="Count of Patient Admission Flag" measure="1" displayFolder="" measureGroup="Hospital Emergency Room Data" count="0" hidden="1">
      <extLst>
        <ext xmlns:x15="http://schemas.microsoft.com/office/spreadsheetml/2010/11/main" uri="{B97F6D7D-B522-45F9-BDA1-12C45D357490}">
          <x15:cacheHierarchy aggregatedColumn="13"/>
        </ext>
      </extLst>
    </cacheHierarchy>
    <cacheHierarchy uniqueName="[Measures].[Count of Age Group]" caption="Count of Age Group" measure="1" displayFolder="" measureGroup="Hospital Emergency Room Data" count="0" hidden="1">
      <extLst>
        <ext xmlns:x15="http://schemas.microsoft.com/office/spreadsheetml/2010/11/main" uri="{B97F6D7D-B522-45F9-BDA1-12C45D357490}">
          <x15:cacheHierarchy aggregatedColumn="16"/>
        </ext>
      </extLst>
    </cacheHierarchy>
    <cacheHierarchy uniqueName="[Measures].[Count of Patient attend Status]" caption="Count of Patient attend Status" measure="1" displayFolder="" measureGroup="Hospital Emergency Room Data" count="0" hidden="1">
      <extLst>
        <ext xmlns:x15="http://schemas.microsoft.com/office/spreadsheetml/2010/11/main" uri="{B97F6D7D-B522-45F9-BDA1-12C45D357490}">
          <x15:cacheHierarchy aggregatedColumn="17"/>
        </ext>
      </extLst>
    </cacheHierarchy>
    <cacheHierarchy uniqueName="[Measures].[Count of Patient Gender]" caption="Count of Patient Gender" measure="1" displayFolder="" measureGroup="Hospital Emergency Room Data" count="0" hidden="1">
      <extLst>
        <ext xmlns:x15="http://schemas.microsoft.com/office/spreadsheetml/2010/11/main" uri="{B97F6D7D-B522-45F9-BDA1-12C45D357490}">
          <x15:cacheHierarchy aggregatedColumn="9"/>
        </ext>
      </extLst>
    </cacheHierarchy>
    <cacheHierarchy uniqueName="[Measures].[Count of Department Referral]" caption="Count of Department Referral" measure="1" displayFolder="" measureGroup="Hospital Emergency Room Data" count="0" hidden="1">
      <extLst>
        <ext xmlns:x15="http://schemas.microsoft.com/office/spreadsheetml/2010/11/main" uri="{B97F6D7D-B522-45F9-BDA1-12C45D357490}">
          <x15:cacheHierarchy aggregatedColumn="12"/>
        </ext>
      </extLst>
    </cacheHierarchy>
  </cacheHierarchies>
  <kpis count="0"/>
  <extLst>
    <ext xmlns:x14="http://schemas.microsoft.com/office/spreadsheetml/2009/9/main" uri="{725AE2AE-9491-48be-B2B4-4EB974FC3084}">
      <x14:pivotCacheDefinition slicerData="1" pivotCacheId="112379539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D9124EE-2D83-420C-8A37-ADB537E01DE9}" name="PivotTable9" cacheId="8" applyNumberFormats="0" applyBorderFormats="0" applyFontFormats="0" applyPatternFormats="0" applyAlignmentFormats="0" applyWidthHeightFormats="1" dataCaption="Values" tag="75099c9a-1710-4831-b491-18892e1bdf4c" updatedVersion="8" minRefreshableVersion="3" subtotalHiddenItems="1" itemPrintTitles="1" createdVersion="5" indent="0" outline="1" outlineData="1" multipleFieldFilters="0" chartFormat="8">
  <location ref="A57:B66" firstHeaderRow="1" firstDataRow="1" firstDataCol="1"/>
  <pivotFields count="4">
    <pivotField allDrilled="1" subtotalTop="0" showAll="0" dataSourceSort="1" defaultSubtotal="0" defaultAttributeDrillState="1"/>
    <pivotField axis="axisRow" allDrilled="1" subtotalTop="0" showAll="0" dataSourceSort="1" defaultSubtotal="0" defaultAttributeDrillState="1">
      <items count="8">
        <item x="0"/>
        <item x="1"/>
        <item x="2"/>
        <item x="3"/>
        <item x="4"/>
        <item x="5"/>
        <item x="6"/>
        <item x="7"/>
      </items>
    </pivotField>
    <pivotField dataField="1" subtotalTop="0" showAll="0" defaultSubtotal="0"/>
    <pivotField allDrilled="1" subtotalTop="0" showAll="0" dataSourceSort="1" defaultSubtotal="0" defaultAttributeDrillState="1"/>
  </pivotFields>
  <rowFields count="1">
    <field x="1"/>
  </rowFields>
  <rowItems count="9">
    <i>
      <x/>
    </i>
    <i>
      <x v="1"/>
    </i>
    <i>
      <x v="2"/>
    </i>
    <i>
      <x v="3"/>
    </i>
    <i>
      <x v="4"/>
    </i>
    <i>
      <x v="5"/>
    </i>
    <i>
      <x v="6"/>
    </i>
    <i>
      <x v="7"/>
    </i>
    <i t="grand">
      <x/>
    </i>
  </rowItems>
  <colItems count="1">
    <i/>
  </colItems>
  <dataFields count="1">
    <dataField name="Count of Age Group" fld="2" subtotal="count" baseField="0" baseItem="0" numFmtId="1"/>
  </dataFields>
  <formats count="1">
    <format dxfId="0">
      <pivotArea outline="0" collapsedLevelsAreSubtotals="1" fieldPosition="0"/>
    </format>
  </formats>
  <chartFormats count="1">
    <chartFormat chart="7" format="2" series="1">
      <pivotArea type="data" outline="0" fieldPosition="0">
        <references count="1">
          <reference field="4294967294" count="1" selected="0">
            <x v="0"/>
          </reference>
        </references>
      </pivotArea>
    </chartFormat>
  </chartFormats>
  <pivotHierarchies count="34">
    <pivotHierarchy dragToData="1"/>
    <pivotHierarchy multipleItemSelectionAllowed="1" dragToData="1">
      <members count="1" level="1">
        <member name="[Calender_Type].[Date (Month)].&amp;[Mar]"/>
      </members>
    </pivotHierarchy>
    <pivotHierarchy dragToData="1"/>
    <pivotHierarchy multipleItemSelectionAllowed="1" dragToData="1">
      <members count="1" level="1">
        <member name="[Calender_Type].[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er_Typ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4F06AB5-4847-42ED-A7BF-B64CEA339841}" name="PivotTable12" cacheId="11" applyNumberFormats="0" applyBorderFormats="0" applyFontFormats="0" applyPatternFormats="0" applyAlignmentFormats="0" applyWidthHeightFormats="1" dataCaption="Values" tag="75099c9a-1710-4831-b491-18892e1bdf4c" updatedVersion="8" minRefreshableVersion="3" subtotalHiddenItems="1" itemPrintTitles="1" createdVersion="5" indent="0" outline="1" outlineData="1" multipleFieldFilters="0" chartFormat="22">
  <location ref="A86:B95" firstHeaderRow="1" firstDataRow="1" firstDataCol="1"/>
  <pivotFields count="4">
    <pivotField allDrilled="1" subtotalTop="0" showAll="0" dataSourceSort="1" defaultSubtotal="0" defaultAttributeDrillState="1"/>
    <pivotField axis="axisRow" allDrilled="1" subtotalTop="0" showAll="0" sortType="a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1"/>
  </rowFields>
  <rowItems count="9">
    <i>
      <x v="7"/>
    </i>
    <i>
      <x v="3"/>
    </i>
    <i>
      <x v="1"/>
    </i>
    <i>
      <x v="6"/>
    </i>
    <i>
      <x/>
    </i>
    <i>
      <x v="5"/>
    </i>
    <i>
      <x v="2"/>
    </i>
    <i>
      <x v="4"/>
    </i>
    <i t="grand">
      <x/>
    </i>
  </rowItems>
  <colItems count="1">
    <i/>
  </colItems>
  <dataFields count="1">
    <dataField name="Count of Department Referral" fld="2" subtotal="count" baseField="0" baseItem="0"/>
  </dataFields>
  <formats count="1">
    <format dxfId="1">
      <pivotArea outline="0" collapsedLevelsAreSubtotals="1" fieldPosition="0"/>
    </format>
  </formats>
  <chartFormats count="1">
    <chartFormat chart="21" format="2" series="1">
      <pivotArea type="data" outline="0" fieldPosition="0">
        <references count="1">
          <reference field="4294967294" count="1" selected="0">
            <x v="0"/>
          </reference>
        </references>
      </pivotArea>
    </chartFormat>
  </chartFormats>
  <pivotHierarchies count="34">
    <pivotHierarchy dragToData="1"/>
    <pivotHierarchy multipleItemSelectionAllowed="1" dragToData="1">
      <members count="1" level="1">
        <member name="[Calender_Type].[Date (Month)].&amp;[Mar]"/>
      </members>
    </pivotHierarchy>
    <pivotHierarchy dragToData="1"/>
    <pivotHierarchy multipleItemSelectionAllowed="1" dragToData="1">
      <members count="1" level="1">
        <member name="[Calender_Type].[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er_Typ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BC0125C-97BA-4025-B78A-AD440712EBE5}" name="PivotTable5" cacheId="4" applyNumberFormats="0" applyBorderFormats="0" applyFontFormats="0" applyPatternFormats="0" applyAlignmentFormats="0" applyWidthHeightFormats="1" dataCaption="Values" tag="75099c9a-1710-4831-b491-18892e1bdf4c" updatedVersion="8" minRefreshableVersion="3" subtotalHiddenItems="1" itemPrintTitles="1" createdVersion="5" indent="0" outline="1" outlineData="1" multipleFieldFilters="0">
  <location ref="A19:A20"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Average of Patient Satisfaction Score" fld="0" subtotal="average" baseField="0" baseItem="0"/>
  </dataFields>
  <formats count="1">
    <format dxfId="2">
      <pivotArea outline="0" collapsedLevelsAreSubtotals="1" fieldPosition="0"/>
    </format>
  </formats>
  <pivotHierarchies count="34">
    <pivotHierarchy dragToData="1"/>
    <pivotHierarchy multipleItemSelectionAllowed="1" dragToData="1">
      <members count="1" level="1">
        <member name="[Calender_Type].[Date (Month)].&amp;[Mar]"/>
      </members>
    </pivotHierarchy>
    <pivotHierarchy dragToData="1"/>
    <pivotHierarchy multipleItemSelectionAllowed="1" dragToData="1">
      <members count="1" level="1">
        <member name="[Calender_Type].[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05A96E1-C289-4E3E-98E2-592A721FFD5E}" name="PivotTable11" cacheId="10" applyNumberFormats="0" applyBorderFormats="0" applyFontFormats="0" applyPatternFormats="0" applyAlignmentFormats="0" applyWidthHeightFormats="1" dataCaption="Values" tag="75099c9a-1710-4831-b491-18892e1bdf4c" updatedVersion="8" minRefreshableVersion="3" subtotalHiddenItems="1" itemPrintTitles="1" createdVersion="5" indent="0" outline="1" outlineData="1" multipleFieldFilters="0" chartFormat="18">
  <location ref="A79:B82" firstHeaderRow="1" firstDataRow="1" firstDataCol="1"/>
  <pivotFields count="4">
    <pivotField allDrilled="1" subtotalTop="0" showAll="0" dataSourceSort="1" defaultSubtotal="0" defaultAttributeDrillState="1"/>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1"/>
  </rowFields>
  <rowItems count="3">
    <i>
      <x/>
    </i>
    <i>
      <x v="1"/>
    </i>
    <i t="grand">
      <x/>
    </i>
  </rowItems>
  <colItems count="1">
    <i/>
  </colItems>
  <dataFields count="1">
    <dataField name="Count of Patient Gender" fld="2" subtotal="count" baseField="0" baseItem="0"/>
  </dataFields>
  <formats count="1">
    <format dxfId="3">
      <pivotArea outline="0" collapsedLevelsAreSubtotals="1" fieldPosition="0"/>
    </format>
  </formats>
  <chartFormats count="3">
    <chartFormat chart="16" format="4" series="1">
      <pivotArea type="data" outline="0" fieldPosition="0">
        <references count="1">
          <reference field="4294967294" count="1" selected="0">
            <x v="0"/>
          </reference>
        </references>
      </pivotArea>
    </chartFormat>
    <chartFormat chart="16" format="5">
      <pivotArea type="data" outline="0" fieldPosition="0">
        <references count="2">
          <reference field="4294967294" count="1" selected="0">
            <x v="0"/>
          </reference>
          <reference field="1" count="1" selected="0">
            <x v="0"/>
          </reference>
        </references>
      </pivotArea>
    </chartFormat>
    <chartFormat chart="16" format="6">
      <pivotArea type="data" outline="0" fieldPosition="0">
        <references count="2">
          <reference field="4294967294" count="1" selected="0">
            <x v="0"/>
          </reference>
          <reference field="1" count="1" selected="0">
            <x v="1"/>
          </reference>
        </references>
      </pivotArea>
    </chartFormat>
  </chartFormats>
  <pivotHierarchies count="34">
    <pivotHierarchy dragToData="1"/>
    <pivotHierarchy multipleItemSelectionAllowed="1" dragToData="1">
      <members count="1" level="1">
        <member name="[Calender_Type].[Date (Month)].&amp;[Mar]"/>
      </members>
    </pivotHierarchy>
    <pivotHierarchy dragToData="1"/>
    <pivotHierarchy multipleItemSelectionAllowed="1" dragToData="1">
      <members count="1" level="1">
        <member name="[Calender_Type].[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er_Typ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7CE835E-3392-4324-AAB0-61CCBCADE6C9}" name="PivotTable14" cacheId="12" applyNumberFormats="0" applyBorderFormats="0" applyFontFormats="0" applyPatternFormats="0" applyAlignmentFormats="0" applyWidthHeightFormats="1" dataCaption="Values" tag="75099c9a-1710-4831-b491-18892e1bdf4c" updatedVersion="8" minRefreshableVersion="3" subtotalHiddenItems="1" itemPrintTitles="1" createdVersion="5" indent="0" outline="1" outlineData="1" multipleFieldFilters="0" chartFormat="22">
  <location ref="R6:R41" firstHeaderRow="1" firstDataRow="1" firstDataCol="1"/>
  <pivotFields count="4">
    <pivotField axis="axisRow" allDrilled="1" subtotalTop="0" showAll="0" dataSourceSort="1" defaultSubtotal="0" defaultAttributeDrillState="1">
      <items count="1">
        <item s="1" x="0"/>
      </items>
    </pivotField>
    <pivotField axis="axisRow" allDrilled="1" subtotalTop="0" showAll="0" dataSourceSort="1" defaultSubtotal="0" defaultAttributeDrillState="1">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 axis="axisRow" allDrilled="1" subtotalTop="0" showAll="0" dataSourceSort="1" defaultSubtotal="0" defaultAttributeDrillState="1">
      <items count="1">
        <item x="0"/>
      </items>
    </pivotField>
    <pivotField axis="axisRow" allDrilled="1" subtotalTop="0" showAll="0" dataSourceSort="1" defaultSubtotal="0" defaultAttributeDrillState="1">
      <items count="1">
        <item s="1" x="0"/>
      </items>
    </pivotField>
  </pivotFields>
  <rowFields count="4">
    <field x="3"/>
    <field x="2"/>
    <field x="0"/>
    <field x="1"/>
  </rowFields>
  <rowItems count="35">
    <i>
      <x/>
    </i>
    <i r="1">
      <x/>
    </i>
    <i r="2">
      <x/>
    </i>
    <i r="3">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3">
      <x v="24"/>
    </i>
    <i r="3">
      <x v="25"/>
    </i>
    <i r="3">
      <x v="26"/>
    </i>
    <i r="3">
      <x v="27"/>
    </i>
    <i r="3">
      <x v="28"/>
    </i>
    <i r="3">
      <x v="29"/>
    </i>
    <i r="3">
      <x v="30"/>
    </i>
    <i t="grand">
      <x/>
    </i>
  </rowItems>
  <formats count="1">
    <format dxfId="4">
      <pivotArea outline="0" collapsedLevelsAreSubtotals="1" fieldPosition="0"/>
    </format>
  </formats>
  <pivotHierarchies count="34">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4">
    <rowHierarchyUsage hierarchyUsage="3"/>
    <rowHierarchyUsage hierarchyUsage="4"/>
    <rowHierarchyUsage hierarchyUsage="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er_Typ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7E2D7E3-C0BC-48AD-A41E-C5207D9C11DE}" name="PivotTable8" cacheId="7" applyNumberFormats="0" applyBorderFormats="0" applyFontFormats="0" applyPatternFormats="0" applyAlignmentFormats="0" applyWidthHeightFormats="1" dataCaption="Values" tag="75099c9a-1710-4831-b491-18892e1bdf4c" updatedVersion="8" minRefreshableVersion="3" subtotalHiddenItems="1" itemPrintTitles="1" createdVersion="5" indent="0" outline="1" outlineData="1" multipleFieldFilters="0" chartFormat="4">
  <location ref="A44:C47" firstHeaderRow="0" firstDataRow="1" firstDataCol="1"/>
  <pivotFields count="5">
    <pivotField allDrilled="1" subtotalTop="0" showAll="0" dataSourceSort="1" defaultSubtotal="0" defaultAttributeDrillState="1"/>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3">
    <i>
      <x/>
    </i>
    <i>
      <x v="1"/>
    </i>
    <i t="grand">
      <x/>
    </i>
  </rowItems>
  <colFields count="1">
    <field x="-2"/>
  </colFields>
  <colItems count="2">
    <i>
      <x/>
    </i>
    <i i="1">
      <x v="1"/>
    </i>
  </colItems>
  <dataFields count="2">
    <dataField name="Count of Patient Admission Flag" fld="2" subtotal="count" baseField="0" baseItem="0" numFmtId="1"/>
    <dataField name="Count of Patient Admission Flag2" fld="4" subtotal="count" showDataAs="percentOfTotal" baseField="0" baseItem="0" numFmtId="10">
      <extLst>
        <ext xmlns:x14="http://schemas.microsoft.com/office/spreadsheetml/2009/9/main" uri="{E15A36E0-9728-4e99-A89B-3F7291B0FE68}">
          <x14:dataField sourceField="2" uniqueName="[__Xl2].[Measures].[Count of Patient Admission Flag]"/>
        </ext>
      </extLst>
    </dataField>
  </dataFields>
  <formats count="3">
    <format dxfId="7">
      <pivotArea outline="0" collapsedLevelsAreSubtotals="1" fieldPosition="0"/>
    </format>
    <format dxfId="6">
      <pivotArea outline="0" fieldPosition="0">
        <references count="1">
          <reference field="4294967294" count="1">
            <x v="1"/>
          </reference>
        </references>
      </pivotArea>
    </format>
    <format dxfId="5">
      <pivotArea outline="0" collapsedLevelsAreSubtotals="1" fieldPosition="0">
        <references count="1">
          <reference field="4294967294" count="1" selected="0">
            <x v="0"/>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0"/>
          </reference>
          <reference field="1" count="1" selected="0">
            <x v="0"/>
          </reference>
        </references>
      </pivotArea>
    </chartFormat>
    <chartFormat chart="0" format="3">
      <pivotArea type="data" outline="0" fieldPosition="0">
        <references count="2">
          <reference field="4294967294" count="1" selected="0">
            <x v="0"/>
          </reference>
          <reference field="1" count="1" selected="0">
            <x v="1"/>
          </reference>
        </references>
      </pivotArea>
    </chartFormat>
  </chartFormats>
  <pivotHierarchies count="35">
    <pivotHierarchy dragToData="1"/>
    <pivotHierarchy multipleItemSelectionAllowed="1" dragToData="1">
      <members count="1" level="1">
        <member name="[Calender_Type].[Date (Month)].&amp;[Mar]"/>
      </members>
    </pivotHierarchy>
    <pivotHierarchy dragToData="1"/>
    <pivotHierarchy multipleItemSelectionAllowed="1" dragToData="1">
      <members count="1" level="1">
        <member name="[Calender_Type].[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er_Typ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BDB9507-96B2-4F7F-AD26-3EF84F1D872C}" name="PivotTable1" cacheId="1" applyNumberFormats="0" applyBorderFormats="0" applyFontFormats="0" applyPatternFormats="0" applyAlignmentFormats="0" applyWidthHeightFormats="1" dataCaption="Values" tag="ce8013ea-c37f-4167-8281-8373d46458b9" updatedVersion="8" minRefreshableVersion="3" subtotalHiddenItems="1" itemPrintTitles="1" createdVersion="5" indent="0" outline="1" outlineData="1" multipleFieldFilters="0">
  <location ref="A6:A7"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Distinct Count of Patient Id" fld="0" subtotal="count" baseField="0" baseItem="0">
      <extLst>
        <ext xmlns:x15="http://schemas.microsoft.com/office/spreadsheetml/2010/11/main" uri="{FABC7310-3BB5-11E1-824E-6D434824019B}">
          <x15:dataField isCountDistinct="1"/>
        </ext>
      </extLst>
    </dataField>
  </dataFields>
  <pivotHierarchies count="34">
    <pivotHierarchy dragToData="1"/>
    <pivotHierarchy multipleItemSelectionAllowed="1" dragToData="1">
      <members count="1" level="1">
        <member name="[Calender_Type].[Date (Month)].&amp;[Mar]"/>
      </members>
    </pivotHierarchy>
    <pivotHierarchy dragToData="1"/>
    <pivotHierarchy multipleItemSelectionAllowed="1" dragToData="1">
      <members count="1" level="1">
        <member name="[Calender_Type].[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7BD30BA-33BB-4C15-841E-2D2E59999FBA}" name="PivotTable7" cacheId="6" applyNumberFormats="0" applyBorderFormats="0" applyFontFormats="0" applyPatternFormats="0" applyAlignmentFormats="0" applyWidthHeightFormats="1" dataCaption="Values" tag="2d4f0c56-ac00-4655-b3ed-9215d2ae9664" updatedVersion="8" minRefreshableVersion="3" subtotalHiddenItems="1" itemPrintTitles="1" createdVersion="5" indent="0" outline="1" outlineData="1" multipleFieldFilters="0" chartFormat="25">
  <location ref="M6:N38" firstHeaderRow="1" firstDataRow="1" firstDataCol="1"/>
  <pivotFields count="4">
    <pivotField axis="axisRow" allDrilled="1" subtotalTop="0" showAll="0" dataSourceSort="1" defaultSubtotal="0" defaultAttributeDrillState="1">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s>
  <rowFields count="1">
    <field x="0"/>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Items count="1">
    <i/>
  </colItems>
  <dataFields count="1">
    <dataField name="Average of Patient Satisfaction Score" fld="2" subtotal="average" baseField="0" baseItem="0"/>
  </dataFields>
  <formats count="1">
    <format dxfId="8">
      <pivotArea outline="0" collapsedLevelsAreSubtotals="1" fieldPosition="0"/>
    </format>
  </formats>
  <chartFormats count="2">
    <chartFormat chart="21" format="2" series="1">
      <pivotArea type="data" outline="0" fieldPosition="0">
        <references count="1">
          <reference field="4294967294" count="1" selected="0">
            <x v="0"/>
          </reference>
        </references>
      </pivotArea>
    </chartFormat>
    <chartFormat chart="23" format="4" series="1">
      <pivotArea type="data" outline="0" fieldPosition="0">
        <references count="1">
          <reference field="4294967294" count="1" selected="0">
            <x v="0"/>
          </reference>
        </references>
      </pivotArea>
    </chartFormat>
  </chartFormats>
  <pivotHierarchies count="34">
    <pivotHierarchy dragToData="1"/>
    <pivotHierarchy multipleItemSelectionAllowed="1" dragToData="1">
      <members count="1" level="1">
        <member name="[Calender_Type].[Date (Month)].&amp;[Mar]"/>
      </members>
    </pivotHierarchy>
    <pivotHierarchy dragToData="1"/>
    <pivotHierarchy multipleItemSelectionAllowed="1" dragToData="1">
      <members count="1" level="1">
        <member name="[Calender_Type].[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er_Typ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E06A9E0-545C-48E7-B390-574C06C5F26E}" name="PivotTable10" cacheId="9" applyNumberFormats="0" applyBorderFormats="0" applyFontFormats="0" applyPatternFormats="0" applyAlignmentFormats="0" applyWidthHeightFormats="1" dataCaption="Values" tag="75099c9a-1710-4831-b491-18892e1bdf4c" updatedVersion="8" minRefreshableVersion="3" subtotalHiddenItems="1" itemPrintTitles="1" createdVersion="5" indent="0" outline="1" outlineData="1" multipleFieldFilters="0" chartFormat="14">
  <location ref="A71:B74" firstHeaderRow="1" firstDataRow="1" firstDataCol="1"/>
  <pivotFields count="4">
    <pivotField allDrilled="1" subtotalTop="0" showAll="0" dataSourceSort="1" defaultSubtotal="0" defaultAttributeDrillState="1"/>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1"/>
  </rowFields>
  <rowItems count="3">
    <i>
      <x/>
    </i>
    <i>
      <x v="1"/>
    </i>
    <i t="grand">
      <x/>
    </i>
  </rowItems>
  <colItems count="1">
    <i/>
  </colItems>
  <dataFields count="1">
    <dataField name="Count of Patient attend Status" fld="2" subtotal="count" baseField="0" baseItem="0"/>
  </dataFields>
  <formats count="1">
    <format dxfId="9">
      <pivotArea outline="0" collapsedLevelsAreSubtotals="1" fieldPosition="0"/>
    </format>
  </formats>
  <chartFormats count="3">
    <chartFormat chart="11" format="4" series="1">
      <pivotArea type="data" outline="0" fieldPosition="0">
        <references count="1">
          <reference field="4294967294" count="1" selected="0">
            <x v="0"/>
          </reference>
        </references>
      </pivotArea>
    </chartFormat>
    <chartFormat chart="11" format="5">
      <pivotArea type="data" outline="0" fieldPosition="0">
        <references count="2">
          <reference field="4294967294" count="1" selected="0">
            <x v="0"/>
          </reference>
          <reference field="1" count="1" selected="0">
            <x v="0"/>
          </reference>
        </references>
      </pivotArea>
    </chartFormat>
    <chartFormat chart="11" format="6">
      <pivotArea type="data" outline="0" fieldPosition="0">
        <references count="2">
          <reference field="4294967294" count="1" selected="0">
            <x v="0"/>
          </reference>
          <reference field="1" count="1" selected="0">
            <x v="1"/>
          </reference>
        </references>
      </pivotArea>
    </chartFormat>
  </chartFormats>
  <pivotHierarchies count="34">
    <pivotHierarchy dragToData="1"/>
    <pivotHierarchy multipleItemSelectionAllowed="1" dragToData="1">
      <members count="1" level="1">
        <member name="[Calender_Type].[Date (Month)].&amp;[Mar]"/>
      </members>
    </pivotHierarchy>
    <pivotHierarchy dragToData="1"/>
    <pivotHierarchy multipleItemSelectionAllowed="1" dragToData="1">
      <members count="1" level="1">
        <member name="[Calender_Type].[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er_Typ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38F48DEF-658D-4C26-93B5-5BDE9F2B4D87}" name="PivotTable4" cacheId="0" applyNumberFormats="0" applyBorderFormats="0" applyFontFormats="0" applyPatternFormats="0" applyAlignmentFormats="0" applyWidthHeightFormats="1" dataCaption="Values" tag="2d4f0c56-ac00-4655-b3ed-9215d2ae9664" updatedVersion="8" minRefreshableVersion="3" subtotalHiddenItems="1" itemPrintTitles="1" createdVersion="5" indent="0" outline="1" outlineData="1" multipleFieldFilters="0" chartFormat="10">
  <location ref="E6:F38" firstHeaderRow="1" firstDataRow="1" firstDataCol="1"/>
  <pivotFields count="4">
    <pivotField dataField="1" subtotalTop="0" showAll="0" defaultSubtotal="0"/>
    <pivotField axis="axisRow" allDrilled="1" subtotalTop="0" showAll="0" dataSourceSort="1" defaultSubtotal="0" defaultAttributeDrillState="1">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Items count="1">
    <i/>
  </colItems>
  <dataFields count="1">
    <dataField name="Distinct Count of Patient Id" fld="0" subtotal="count" baseField="0" baseItem="0">
      <extLst>
        <ext xmlns:x15="http://schemas.microsoft.com/office/spreadsheetml/2010/11/main" uri="{FABC7310-3BB5-11E1-824E-6D434824019B}">
          <x15:dataField isCountDistinct="1"/>
        </ext>
      </extLst>
    </dataField>
  </dataFields>
  <chartFormats count="3">
    <chartFormat chart="3" format="2"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s>
  <pivotHierarchies count="34">
    <pivotHierarchy dragToData="1"/>
    <pivotHierarchy multipleItemSelectionAllowed="1" dragToData="1">
      <members count="1" level="1">
        <member name="[Calender_Type].[Date (Month)].&amp;[Mar]"/>
      </members>
    </pivotHierarchy>
    <pivotHierarchy dragToData="1"/>
    <pivotHierarchy multipleItemSelectionAllowed="1" dragToData="1">
      <members count="1" level="1">
        <member name="[Calender_Type].[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er_Typ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F61AF2EF-1AA0-4108-BADB-BFA8B7BF4F42}" name="PivotTable3" cacheId="3" applyNumberFormats="0" applyBorderFormats="0" applyFontFormats="0" applyPatternFormats="0" applyAlignmentFormats="0" applyWidthHeightFormats="1" dataCaption="Values" tag="75099c9a-1710-4831-b491-18892e1bdf4c" updatedVersion="8" minRefreshableVersion="3" subtotalHiddenItems="1" itemPrintTitles="1" createdVersion="5" indent="0" outline="1" outlineData="1" multipleFieldFilters="0">
  <location ref="A15:A16"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Average of Patient Satisfaction Score" fld="0" subtotal="average" baseField="0" baseItem="0"/>
  </dataFields>
  <formats count="1">
    <format dxfId="10">
      <pivotArea outline="0" collapsedLevelsAreSubtotals="1" fieldPosition="0"/>
    </format>
  </formats>
  <pivotHierarchies count="34">
    <pivotHierarchy dragToData="1"/>
    <pivotHierarchy multipleItemSelectionAllowed="1" dragToData="1">
      <members count="1" level="1">
        <member name="[Calender_Type].[Date (Month)].&amp;[Mar]"/>
      </members>
    </pivotHierarchy>
    <pivotHierarchy dragToData="1"/>
    <pivotHierarchy multipleItemSelectionAllowed="1" dragToData="1">
      <members count="1" level="1">
        <member name="[Calender_Type].[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caption="Average of Patient Satisfaction Score"/>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33206DB-8209-46EB-9F4D-174F3EFC8AF5}" name="PivotTable6" cacheId="5" applyNumberFormats="0" applyBorderFormats="0" applyFontFormats="0" applyPatternFormats="0" applyAlignmentFormats="0" applyWidthHeightFormats="1" dataCaption="Values" tag="2d4f0c56-ac00-4655-b3ed-9215d2ae9664" updatedVersion="8" minRefreshableVersion="3" subtotalHiddenItems="1" itemPrintTitles="1" createdVersion="5" indent="0" outline="1" outlineData="1" multipleFieldFilters="0" chartFormat="18">
  <location ref="I6:J38" firstHeaderRow="1" firstDataRow="1" firstDataCol="1"/>
  <pivotFields count="4">
    <pivotField axis="axisRow" allDrilled="1" subtotalTop="0" showAll="0" dataSourceSort="1" defaultSubtotal="0" defaultAttributeDrillState="1">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s>
  <rowFields count="1">
    <field x="0"/>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Items count="1">
    <i/>
  </colItems>
  <dataFields count="1">
    <dataField name="Average of Patient Waittime" fld="2" subtotal="average" baseField="0" baseItem="0" numFmtId="2"/>
  </dataFields>
  <formats count="1">
    <format dxfId="11">
      <pivotArea outline="0" collapsedLevelsAreSubtotals="1" fieldPosition="0"/>
    </format>
  </formats>
  <chartFormats count="2">
    <chartFormat chart="11" format="2" series="1">
      <pivotArea type="data" outline="0" fieldPosition="0">
        <references count="1">
          <reference field="4294967294" count="1" selected="0">
            <x v="0"/>
          </reference>
        </references>
      </pivotArea>
    </chartFormat>
    <chartFormat chart="13" format="4" series="1">
      <pivotArea type="data" outline="0" fieldPosition="0">
        <references count="1">
          <reference field="4294967294" count="1" selected="0">
            <x v="0"/>
          </reference>
        </references>
      </pivotArea>
    </chartFormat>
  </chartFormats>
  <pivotHierarchies count="34">
    <pivotHierarchy dragToData="1"/>
    <pivotHierarchy multipleItemSelectionAllowed="1" dragToData="1">
      <members count="1" level="1">
        <member name="[Calender_Type].[Date (Month)].&amp;[Mar]"/>
      </members>
    </pivotHierarchy>
    <pivotHierarchy dragToData="1"/>
    <pivotHierarchy multipleItemSelectionAllowed="1" dragToData="1">
      <members count="1" level="1">
        <member name="[Calender_Type].[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activeTabTopLevelEntity name="[Calender_Typ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7487B2ED-B397-42E3-9A75-8E877496F15E}" name="PivotTable2" cacheId="2" applyNumberFormats="0" applyBorderFormats="0" applyFontFormats="0" applyPatternFormats="0" applyAlignmentFormats="0" applyWidthHeightFormats="1" dataCaption="Values" tag="583444c3-57f7-4f91-befa-90614060a8bc" updatedVersion="8" minRefreshableVersion="3" subtotalHiddenItems="1" itemPrintTitles="1" createdVersion="5" indent="0" outline="1" outlineData="1" multipleFieldFilters="0">
  <location ref="A11:A12"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Average of Patient Waittime" fld="0" subtotal="average" baseField="0" baseItem="0" numFmtId="2"/>
  </dataFields>
  <formats count="1">
    <format dxfId="12">
      <pivotArea outline="0" collapsedLevelsAreSubtotals="1" fieldPosition="0"/>
    </format>
  </formats>
  <pivotHierarchies count="34">
    <pivotHierarchy dragToData="1"/>
    <pivotHierarchy multipleItemSelectionAllowed="1" dragToData="1">
      <members count="1" level="1">
        <member name="[Calender_Type].[Date (Month)].&amp;[Mar]"/>
      </members>
    </pivotHierarchy>
    <pivotHierarchy dragToData="1"/>
    <pivotHierarchy multipleItemSelectionAllowed="1" dragToData="1">
      <members count="1" level="1">
        <member name="[Calender_Type].[Date (Year)].&amp;[2024]"/>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tient Id"/>
    <pivotHierarchy dragToData="1"/>
    <pivotHierarchy dragToData="1" caption="Average of Patient Waittime"/>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Hospital Emergency Room Data]"/>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Month" xr10:uid="{AF16737E-8989-41F9-A741-E4C899B7B330}" sourceName="[Calender_Type].[Date (Month)]">
  <pivotTables>
    <pivotTable tabId="1" name="PivotTable4"/>
    <pivotTable tabId="1" name="PivotTable1"/>
    <pivotTable tabId="1" name="PivotTable2"/>
    <pivotTable tabId="1" name="PivotTable3"/>
    <pivotTable tabId="1" name="PivotTable5"/>
    <pivotTable tabId="1" name="PivotTable6"/>
    <pivotTable tabId="1" name="PivotTable7"/>
    <pivotTable tabId="1" name="PivotTable8"/>
    <pivotTable tabId="1" name="PivotTable9"/>
    <pivotTable tabId="1" name="PivotTable10"/>
    <pivotTable tabId="1" name="PivotTable11"/>
    <pivotTable tabId="1" name="PivotTable12"/>
    <pivotTable tabId="1" name="PivotTable14"/>
  </pivotTables>
  <data>
    <olap pivotCacheId="1123795393">
      <levels count="2">
        <level uniqueName="[Calender_Type].[Date (Month)].[(All)]" sourceCaption="(All)" count="0"/>
        <level uniqueName="[Calender_Type].[Date (Month)].[Date (Month)]" sourceCaption="Date (Month)" count="12">
          <ranges>
            <range startItem="0">
              <i n="[Calender_Type].[Date (Month)].&amp;[Jan]" c="Jan"/>
              <i n="[Calender_Type].[Date (Month)].&amp;[Feb]" c="Feb"/>
              <i n="[Calender_Type].[Date (Month)].&amp;[Mar]" c="Mar"/>
              <i n="[Calender_Type].[Date (Month)].&amp;[Apr]" c="Apr"/>
              <i n="[Calender_Type].[Date (Month)].&amp;[May]" c="May"/>
              <i n="[Calender_Type].[Date (Month)].&amp;[Jun]" c="Jun"/>
              <i n="[Calender_Type].[Date (Month)].&amp;[Jul]" c="Jul"/>
              <i n="[Calender_Type].[Date (Month)].&amp;[Aug]" c="Aug"/>
              <i n="[Calender_Type].[Date (Month)].&amp;[Sep]" c="Sep"/>
              <i n="[Calender_Type].[Date (Month)].&amp;[Oct]" c="Oct"/>
              <i n="[Calender_Type].[Date (Month)].&amp;[Nov]" c="Nov"/>
              <i n="[Calender_Type].[Date (Month)].&amp;[Dec]" c="Dec"/>
            </range>
          </ranges>
        </level>
      </levels>
      <selections count="1">
        <selection n="[Calender_Type].[Date (Month)].&amp;[Mar]"/>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Year" xr10:uid="{65AD7ABD-5465-45D8-88D3-8730AE14E4F8}" sourceName="[Calender_Type].[Date (Year)]">
  <pivotTables>
    <pivotTable tabId="1" name="PivotTable14"/>
    <pivotTable tabId="1" name="PivotTable1"/>
    <pivotTable tabId="1" name="PivotTable10"/>
    <pivotTable tabId="1" name="PivotTable11"/>
    <pivotTable tabId="1" name="PivotTable12"/>
    <pivotTable tabId="1" name="PivotTable2"/>
    <pivotTable tabId="1" name="PivotTable3"/>
    <pivotTable tabId="1" name="PivotTable4"/>
    <pivotTable tabId="1" name="PivotTable5"/>
    <pivotTable tabId="1" name="PivotTable6"/>
    <pivotTable tabId="1" name="PivotTable7"/>
    <pivotTable tabId="1" name="PivotTable8"/>
    <pivotTable tabId="1" name="PivotTable9"/>
  </pivotTables>
  <data>
    <olap pivotCacheId="1123795393">
      <levels count="2">
        <level uniqueName="[Calender_Type].[Date (Year)].[(All)]" sourceCaption="(All)" count="0"/>
        <level uniqueName="[Calender_Type].[Date (Year)].[Date (Year)]" sourceCaption="Date (Year)" count="2">
          <ranges>
            <range startItem="0">
              <i n="[Calender_Type].[Date (Year)].&amp;[2023]" c="2023"/>
              <i n="[Calender_Type].[Date (Year)].&amp;[2024]" c="2024"/>
            </range>
          </ranges>
        </level>
      </levels>
      <selections count="1">
        <selection n="[Calender_Type].[Date (Year)].&amp;[2024]"/>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Month)" xr10:uid="{73099FCA-AB4F-473A-AEF8-311E9CAA1B3C}" cache="Slicer_Date__Month" caption="Date (Month)" showCaption="0" level="1" style="My Style" rowHeight="136800"/>
  <slicer name="Date (Year)" xr10:uid="{4AF46DDB-868E-4B19-9AE7-25C5945E424D}" cache="Slicer_Date__Year" caption="Date (Year)" columnCount="2" showCaption="0" level="1" style="My Style"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8DC33-6C44-4B5C-ACCA-7585B5784BFF}">
  <dimension ref="A4:R95"/>
  <sheetViews>
    <sheetView zoomScale="50" workbookViewId="0">
      <selection activeCell="U20" sqref="U19:U20"/>
    </sheetView>
  </sheetViews>
  <sheetFormatPr defaultRowHeight="14.4" x14ac:dyDescent="0.3"/>
  <cols>
    <col min="1" max="1" width="10.6640625" customWidth="1"/>
    <col min="2" max="2" width="11.88671875" customWidth="1"/>
    <col min="3" max="3" width="12.33203125" customWidth="1"/>
    <col min="4" max="4" width="18.6640625" customWidth="1"/>
    <col min="5" max="6" width="24.6640625" bestFit="1" customWidth="1"/>
    <col min="9" max="9" width="12.5546875" bestFit="1" customWidth="1"/>
    <col min="10" max="10" width="24.6640625" bestFit="1" customWidth="1"/>
    <col min="13" max="13" width="26.33203125" bestFit="1" customWidth="1"/>
    <col min="14" max="14" width="25.6640625" bestFit="1" customWidth="1"/>
    <col min="18" max="18" width="19.109375" bestFit="1" customWidth="1"/>
  </cols>
  <sheetData>
    <row r="4" spans="1:18" x14ac:dyDescent="0.3">
      <c r="R4" t="s">
        <v>0</v>
      </c>
    </row>
    <row r="5" spans="1:18" x14ac:dyDescent="0.3">
      <c r="A5" t="s">
        <v>1</v>
      </c>
      <c r="E5" t="s">
        <v>2</v>
      </c>
      <c r="I5" t="s">
        <v>3</v>
      </c>
      <c r="M5" t="s">
        <v>4</v>
      </c>
    </row>
    <row r="6" spans="1:18" x14ac:dyDescent="0.3">
      <c r="A6" t="s">
        <v>5</v>
      </c>
      <c r="E6" s="1" t="s">
        <v>6</v>
      </c>
      <c r="F6" t="s">
        <v>5</v>
      </c>
      <c r="I6" s="1" t="s">
        <v>6</v>
      </c>
      <c r="J6" t="s">
        <v>7</v>
      </c>
      <c r="M6" s="1" t="s">
        <v>6</v>
      </c>
      <c r="N6" t="s">
        <v>8</v>
      </c>
      <c r="R6" s="1" t="s">
        <v>6</v>
      </c>
    </row>
    <row r="7" spans="1:18" x14ac:dyDescent="0.3">
      <c r="A7">
        <v>506</v>
      </c>
      <c r="E7" s="4" t="s">
        <v>48</v>
      </c>
      <c r="F7">
        <v>19</v>
      </c>
      <c r="I7" s="4" t="s">
        <v>48</v>
      </c>
      <c r="J7" s="2">
        <v>34.526315789473685</v>
      </c>
      <c r="M7" s="4" t="s">
        <v>48</v>
      </c>
      <c r="N7" s="2">
        <v>7.2</v>
      </c>
      <c r="R7" s="4" t="s">
        <v>46</v>
      </c>
    </row>
    <row r="8" spans="1:18" x14ac:dyDescent="0.3">
      <c r="E8" s="4" t="s">
        <v>49</v>
      </c>
      <c r="F8">
        <v>24</v>
      </c>
      <c r="I8" s="4" t="s">
        <v>49</v>
      </c>
      <c r="J8" s="2">
        <v>33.708333333333336</v>
      </c>
      <c r="M8" s="4" t="s">
        <v>49</v>
      </c>
      <c r="N8" s="2">
        <v>6</v>
      </c>
      <c r="R8" s="11" t="s">
        <v>47</v>
      </c>
    </row>
    <row r="9" spans="1:18" x14ac:dyDescent="0.3">
      <c r="E9" s="4" t="s">
        <v>50</v>
      </c>
      <c r="F9">
        <v>24</v>
      </c>
      <c r="I9" s="4" t="s">
        <v>50</v>
      </c>
      <c r="J9" s="2">
        <v>36.291666666666664</v>
      </c>
      <c r="M9" s="4" t="s">
        <v>50</v>
      </c>
      <c r="N9" s="2">
        <v>1.5</v>
      </c>
      <c r="R9" s="12" t="s">
        <v>79</v>
      </c>
    </row>
    <row r="10" spans="1:18" x14ac:dyDescent="0.3">
      <c r="E10" s="4" t="s">
        <v>51</v>
      </c>
      <c r="F10">
        <v>14</v>
      </c>
      <c r="I10" s="4" t="s">
        <v>51</v>
      </c>
      <c r="J10" s="2">
        <v>35.071428571428569</v>
      </c>
      <c r="M10" s="4" t="s">
        <v>51</v>
      </c>
      <c r="N10" s="2">
        <v>2.75</v>
      </c>
      <c r="R10" s="13">
        <v>45352</v>
      </c>
    </row>
    <row r="11" spans="1:18" x14ac:dyDescent="0.3">
      <c r="A11" t="s">
        <v>7</v>
      </c>
      <c r="E11" s="4" t="s">
        <v>52</v>
      </c>
      <c r="F11">
        <v>14</v>
      </c>
      <c r="I11" s="4" t="s">
        <v>52</v>
      </c>
      <c r="J11" s="2">
        <v>31.571428571428573</v>
      </c>
      <c r="M11" s="4" t="s">
        <v>52</v>
      </c>
      <c r="N11" s="2">
        <v>5</v>
      </c>
      <c r="R11" s="13">
        <v>45353</v>
      </c>
    </row>
    <row r="12" spans="1:18" x14ac:dyDescent="0.3">
      <c r="A12" s="2">
        <v>35.879446640316203</v>
      </c>
      <c r="E12" s="4" t="s">
        <v>53</v>
      </c>
      <c r="F12">
        <v>16</v>
      </c>
      <c r="I12" s="4" t="s">
        <v>53</v>
      </c>
      <c r="J12" s="2">
        <v>31.8125</v>
      </c>
      <c r="M12" s="4" t="s">
        <v>53</v>
      </c>
      <c r="N12" s="2">
        <v>5.5</v>
      </c>
      <c r="R12" s="13">
        <v>45354</v>
      </c>
    </row>
    <row r="13" spans="1:18" x14ac:dyDescent="0.3">
      <c r="E13" s="4" t="s">
        <v>54</v>
      </c>
      <c r="F13">
        <v>26</v>
      </c>
      <c r="I13" s="4" t="s">
        <v>54</v>
      </c>
      <c r="J13" s="2">
        <v>36.846153846153847</v>
      </c>
      <c r="M13" s="4" t="s">
        <v>54</v>
      </c>
      <c r="N13" s="2">
        <v>5.0909090909090908</v>
      </c>
      <c r="R13" s="13">
        <v>45355</v>
      </c>
    </row>
    <row r="14" spans="1:18" x14ac:dyDescent="0.3">
      <c r="E14" s="4" t="s">
        <v>55</v>
      </c>
      <c r="F14">
        <v>14</v>
      </c>
      <c r="I14" s="4" t="s">
        <v>55</v>
      </c>
      <c r="J14" s="2">
        <v>34.071428571428569</v>
      </c>
      <c r="M14" s="4" t="s">
        <v>55</v>
      </c>
      <c r="N14" s="2">
        <v>7.666666666666667</v>
      </c>
      <c r="R14" s="13">
        <v>45356</v>
      </c>
    </row>
    <row r="15" spans="1:18" x14ac:dyDescent="0.3">
      <c r="A15" t="s">
        <v>8</v>
      </c>
      <c r="E15" s="4" t="s">
        <v>56</v>
      </c>
      <c r="F15">
        <v>22</v>
      </c>
      <c r="I15" s="4" t="s">
        <v>56</v>
      </c>
      <c r="J15" s="2">
        <v>33</v>
      </c>
      <c r="M15" s="4" t="s">
        <v>56</v>
      </c>
      <c r="N15" s="2">
        <v>3.5</v>
      </c>
      <c r="R15" s="13">
        <v>45357</v>
      </c>
    </row>
    <row r="16" spans="1:18" x14ac:dyDescent="0.3">
      <c r="A16" s="2">
        <v>5.3277310924369745</v>
      </c>
      <c r="E16" s="4" t="s">
        <v>57</v>
      </c>
      <c r="F16">
        <v>18</v>
      </c>
      <c r="I16" s="4" t="s">
        <v>57</v>
      </c>
      <c r="J16" s="2">
        <v>40.222222222222221</v>
      </c>
      <c r="M16" s="4" t="s">
        <v>57</v>
      </c>
      <c r="N16" s="2">
        <v>3.6666666666666665</v>
      </c>
      <c r="R16" s="13">
        <v>45358</v>
      </c>
    </row>
    <row r="17" spans="1:18" x14ac:dyDescent="0.3">
      <c r="E17" s="4" t="s">
        <v>58</v>
      </c>
      <c r="F17">
        <v>20</v>
      </c>
      <c r="I17" s="4" t="s">
        <v>58</v>
      </c>
      <c r="J17" s="2">
        <v>42.05</v>
      </c>
      <c r="M17" s="4" t="s">
        <v>58</v>
      </c>
      <c r="N17" s="2">
        <v>3.8</v>
      </c>
      <c r="R17" s="13">
        <v>45359</v>
      </c>
    </row>
    <row r="18" spans="1:18" x14ac:dyDescent="0.3">
      <c r="E18" s="4" t="s">
        <v>59</v>
      </c>
      <c r="F18">
        <v>13</v>
      </c>
      <c r="I18" s="4" t="s">
        <v>59</v>
      </c>
      <c r="J18" s="2">
        <v>42.615384615384613</v>
      </c>
      <c r="M18" s="4" t="s">
        <v>59</v>
      </c>
      <c r="N18" s="2">
        <v>1</v>
      </c>
      <c r="R18" s="13">
        <v>45360</v>
      </c>
    </row>
    <row r="19" spans="1:18" x14ac:dyDescent="0.3">
      <c r="A19" t="s">
        <v>8</v>
      </c>
      <c r="E19" s="4" t="s">
        <v>60</v>
      </c>
      <c r="F19">
        <v>13</v>
      </c>
      <c r="I19" s="4" t="s">
        <v>60</v>
      </c>
      <c r="J19" s="2">
        <v>40.46153846153846</v>
      </c>
      <c r="M19" s="4" t="s">
        <v>60</v>
      </c>
      <c r="N19" s="2">
        <v>7</v>
      </c>
      <c r="R19" s="13">
        <v>45361</v>
      </c>
    </row>
    <row r="20" spans="1:18" x14ac:dyDescent="0.3">
      <c r="A20" s="2">
        <v>5.3277310924369745</v>
      </c>
      <c r="E20" s="4" t="s">
        <v>61</v>
      </c>
      <c r="F20">
        <v>14</v>
      </c>
      <c r="I20" s="4" t="s">
        <v>61</v>
      </c>
      <c r="J20" s="2">
        <v>34.071428571428569</v>
      </c>
      <c r="M20" s="4" t="s">
        <v>61</v>
      </c>
      <c r="N20" s="2">
        <v>5</v>
      </c>
      <c r="R20" s="13">
        <v>45362</v>
      </c>
    </row>
    <row r="21" spans="1:18" x14ac:dyDescent="0.3">
      <c r="E21" s="4" t="s">
        <v>62</v>
      </c>
      <c r="F21">
        <v>13</v>
      </c>
      <c r="I21" s="4" t="s">
        <v>62</v>
      </c>
      <c r="J21" s="2">
        <v>33.92307692307692</v>
      </c>
      <c r="M21" s="4" t="s">
        <v>62</v>
      </c>
      <c r="N21" s="2">
        <v>4.25</v>
      </c>
      <c r="R21" s="13">
        <v>45363</v>
      </c>
    </row>
    <row r="22" spans="1:18" x14ac:dyDescent="0.3">
      <c r="E22" s="4" t="s">
        <v>63</v>
      </c>
      <c r="F22">
        <v>18</v>
      </c>
      <c r="I22" s="4" t="s">
        <v>63</v>
      </c>
      <c r="J22" s="2">
        <v>43.166666666666664</v>
      </c>
      <c r="M22" s="4" t="s">
        <v>63</v>
      </c>
      <c r="N22" s="2">
        <v>4</v>
      </c>
      <c r="R22" s="13">
        <v>45364</v>
      </c>
    </row>
    <row r="23" spans="1:18" x14ac:dyDescent="0.3">
      <c r="E23" s="4" t="s">
        <v>64</v>
      </c>
      <c r="F23">
        <v>12</v>
      </c>
      <c r="I23" s="4" t="s">
        <v>64</v>
      </c>
      <c r="J23" s="2">
        <v>42.25</v>
      </c>
      <c r="M23" s="4" t="s">
        <v>64</v>
      </c>
      <c r="N23" s="2">
        <v>7.333333333333333</v>
      </c>
      <c r="R23" s="13">
        <v>45365</v>
      </c>
    </row>
    <row r="24" spans="1:18" x14ac:dyDescent="0.3">
      <c r="E24" s="4" t="s">
        <v>65</v>
      </c>
      <c r="F24">
        <v>11</v>
      </c>
      <c r="I24" s="4" t="s">
        <v>65</v>
      </c>
      <c r="J24" s="2">
        <v>44.090909090909093</v>
      </c>
      <c r="M24" s="4" t="s">
        <v>65</v>
      </c>
      <c r="N24" s="2">
        <v>9</v>
      </c>
      <c r="R24" s="13">
        <v>45366</v>
      </c>
    </row>
    <row r="25" spans="1:18" x14ac:dyDescent="0.3">
      <c r="E25" s="4" t="s">
        <v>66</v>
      </c>
      <c r="F25">
        <v>14</v>
      </c>
      <c r="I25" s="4" t="s">
        <v>66</v>
      </c>
      <c r="J25" s="2">
        <v>39</v>
      </c>
      <c r="M25" s="4" t="s">
        <v>66</v>
      </c>
      <c r="N25" s="2">
        <v>5.25</v>
      </c>
      <c r="R25" s="13">
        <v>45367</v>
      </c>
    </row>
    <row r="26" spans="1:18" x14ac:dyDescent="0.3">
      <c r="E26" s="4" t="s">
        <v>67</v>
      </c>
      <c r="F26">
        <v>12</v>
      </c>
      <c r="I26" s="4" t="s">
        <v>67</v>
      </c>
      <c r="J26" s="2">
        <v>31.25</v>
      </c>
      <c r="M26" s="4" t="s">
        <v>67</v>
      </c>
      <c r="N26" s="2">
        <v>6.6</v>
      </c>
      <c r="R26" s="13">
        <v>45368</v>
      </c>
    </row>
    <row r="27" spans="1:18" x14ac:dyDescent="0.3">
      <c r="E27" s="4" t="s">
        <v>68</v>
      </c>
      <c r="F27">
        <v>16</v>
      </c>
      <c r="I27" s="4" t="s">
        <v>68</v>
      </c>
      <c r="J27" s="2">
        <v>28.5</v>
      </c>
      <c r="M27" s="4" t="s">
        <v>68</v>
      </c>
      <c r="N27" s="2">
        <v>6.25</v>
      </c>
      <c r="R27" s="13">
        <v>45369</v>
      </c>
    </row>
    <row r="28" spans="1:18" x14ac:dyDescent="0.3">
      <c r="E28" s="4" t="s">
        <v>69</v>
      </c>
      <c r="F28">
        <v>16</v>
      </c>
      <c r="I28" s="4" t="s">
        <v>69</v>
      </c>
      <c r="J28" s="2">
        <v>34.0625</v>
      </c>
      <c r="M28" s="4" t="s">
        <v>69</v>
      </c>
      <c r="N28" s="2">
        <v>6.333333333333333</v>
      </c>
      <c r="R28" s="13">
        <v>45370</v>
      </c>
    </row>
    <row r="29" spans="1:18" x14ac:dyDescent="0.3">
      <c r="E29" s="4" t="s">
        <v>70</v>
      </c>
      <c r="F29">
        <v>15</v>
      </c>
      <c r="I29" s="4" t="s">
        <v>70</v>
      </c>
      <c r="J29" s="2">
        <v>25.2</v>
      </c>
      <c r="M29" s="4" t="s">
        <v>70</v>
      </c>
      <c r="N29" s="2">
        <v>7</v>
      </c>
      <c r="R29" s="13">
        <v>45371</v>
      </c>
    </row>
    <row r="30" spans="1:18" x14ac:dyDescent="0.3">
      <c r="E30" s="4" t="s">
        <v>71</v>
      </c>
      <c r="F30">
        <v>22</v>
      </c>
      <c r="I30" s="4" t="s">
        <v>71</v>
      </c>
      <c r="J30" s="2">
        <v>35.863636363636367</v>
      </c>
      <c r="M30" s="4" t="s">
        <v>71</v>
      </c>
      <c r="N30" s="2">
        <v>5.666666666666667</v>
      </c>
      <c r="R30" s="13">
        <v>45372</v>
      </c>
    </row>
    <row r="31" spans="1:18" x14ac:dyDescent="0.3">
      <c r="E31" s="4" t="s">
        <v>72</v>
      </c>
      <c r="F31">
        <v>18</v>
      </c>
      <c r="I31" s="4" t="s">
        <v>72</v>
      </c>
      <c r="J31" s="2">
        <v>39.833333333333336</v>
      </c>
      <c r="M31" s="4" t="s">
        <v>72</v>
      </c>
      <c r="N31" s="2">
        <v>3.3333333333333335</v>
      </c>
      <c r="R31" s="13">
        <v>45373</v>
      </c>
    </row>
    <row r="32" spans="1:18" x14ac:dyDescent="0.3">
      <c r="E32" s="4" t="s">
        <v>73</v>
      </c>
      <c r="F32">
        <v>10</v>
      </c>
      <c r="I32" s="4" t="s">
        <v>73</v>
      </c>
      <c r="J32" s="2">
        <v>37</v>
      </c>
      <c r="M32" s="4" t="s">
        <v>73</v>
      </c>
      <c r="N32" s="2">
        <v>4.75</v>
      </c>
      <c r="R32" s="13">
        <v>45374</v>
      </c>
    </row>
    <row r="33" spans="1:18" x14ac:dyDescent="0.3">
      <c r="E33" s="4" t="s">
        <v>74</v>
      </c>
      <c r="F33">
        <v>17</v>
      </c>
      <c r="I33" s="4" t="s">
        <v>74</v>
      </c>
      <c r="J33" s="2">
        <v>39.411764705882355</v>
      </c>
      <c r="M33" s="4" t="s">
        <v>74</v>
      </c>
      <c r="N33" s="2">
        <v>2</v>
      </c>
      <c r="R33" s="13">
        <v>45375</v>
      </c>
    </row>
    <row r="34" spans="1:18" x14ac:dyDescent="0.3">
      <c r="E34" s="4" t="s">
        <v>75</v>
      </c>
      <c r="F34">
        <v>17</v>
      </c>
      <c r="I34" s="4" t="s">
        <v>75</v>
      </c>
      <c r="J34" s="2">
        <v>30.294117647058822</v>
      </c>
      <c r="M34" s="4" t="s">
        <v>75</v>
      </c>
      <c r="N34" s="2">
        <v>9.25</v>
      </c>
      <c r="R34" s="13">
        <v>45376</v>
      </c>
    </row>
    <row r="35" spans="1:18" x14ac:dyDescent="0.3">
      <c r="E35" s="4" t="s">
        <v>76</v>
      </c>
      <c r="F35">
        <v>12</v>
      </c>
      <c r="I35" s="4" t="s">
        <v>76</v>
      </c>
      <c r="J35" s="2">
        <v>32.666666666666664</v>
      </c>
      <c r="M35" s="4" t="s">
        <v>76</v>
      </c>
      <c r="N35" s="2">
        <v>2.6666666666666665</v>
      </c>
      <c r="R35" s="13">
        <v>45377</v>
      </c>
    </row>
    <row r="36" spans="1:18" x14ac:dyDescent="0.3">
      <c r="E36" s="4" t="s">
        <v>77</v>
      </c>
      <c r="F36">
        <v>14</v>
      </c>
      <c r="I36" s="4" t="s">
        <v>77</v>
      </c>
      <c r="J36" s="2">
        <v>30.571428571428573</v>
      </c>
      <c r="M36" s="4" t="s">
        <v>77</v>
      </c>
      <c r="N36" s="2">
        <v>4</v>
      </c>
      <c r="R36" s="13">
        <v>45378</v>
      </c>
    </row>
    <row r="37" spans="1:18" x14ac:dyDescent="0.3">
      <c r="E37" s="4" t="s">
        <v>78</v>
      </c>
      <c r="F37">
        <v>18</v>
      </c>
      <c r="I37" s="4" t="s">
        <v>78</v>
      </c>
      <c r="J37" s="2">
        <v>39.055555555555557</v>
      </c>
      <c r="M37" s="4" t="s">
        <v>78</v>
      </c>
      <c r="N37" s="2">
        <v>8.75</v>
      </c>
      <c r="R37" s="13">
        <v>45379</v>
      </c>
    </row>
    <row r="38" spans="1:18" x14ac:dyDescent="0.3">
      <c r="E38" s="4" t="s">
        <v>9</v>
      </c>
      <c r="F38">
        <v>506</v>
      </c>
      <c r="I38" s="4" t="s">
        <v>9</v>
      </c>
      <c r="J38" s="2">
        <v>35.879446640316203</v>
      </c>
      <c r="M38" s="4" t="s">
        <v>9</v>
      </c>
      <c r="N38" s="2">
        <v>5.3277310924369745</v>
      </c>
      <c r="R38" s="13">
        <v>45380</v>
      </c>
    </row>
    <row r="39" spans="1:18" x14ac:dyDescent="0.3">
      <c r="R39" s="13">
        <v>45381</v>
      </c>
    </row>
    <row r="40" spans="1:18" x14ac:dyDescent="0.3">
      <c r="R40" s="13">
        <v>45382</v>
      </c>
    </row>
    <row r="41" spans="1:18" x14ac:dyDescent="0.3">
      <c r="R41" s="4" t="s">
        <v>9</v>
      </c>
    </row>
    <row r="44" spans="1:18" x14ac:dyDescent="0.3">
      <c r="A44" s="1" t="s">
        <v>6</v>
      </c>
      <c r="B44" t="s">
        <v>10</v>
      </c>
      <c r="C44" t="s">
        <v>11</v>
      </c>
    </row>
    <row r="45" spans="1:18" x14ac:dyDescent="0.3">
      <c r="A45" s="4" t="s">
        <v>24</v>
      </c>
      <c r="B45" s="14">
        <v>253</v>
      </c>
      <c r="C45" s="15">
        <v>0.5</v>
      </c>
    </row>
    <row r="46" spans="1:18" x14ac:dyDescent="0.3">
      <c r="A46" s="4" t="s">
        <v>25</v>
      </c>
      <c r="B46" s="14">
        <v>253</v>
      </c>
      <c r="C46" s="15">
        <v>0.5</v>
      </c>
    </row>
    <row r="47" spans="1:18" x14ac:dyDescent="0.3">
      <c r="A47" s="4" t="s">
        <v>9</v>
      </c>
      <c r="B47" s="14">
        <v>506</v>
      </c>
      <c r="C47" s="15">
        <v>1</v>
      </c>
    </row>
    <row r="50" spans="1:4" ht="13.5" customHeight="1" x14ac:dyDescent="0.3">
      <c r="A50" s="7" t="s">
        <v>12</v>
      </c>
      <c r="B50" s="7" t="s">
        <v>13</v>
      </c>
      <c r="C50" s="7" t="s">
        <v>14</v>
      </c>
      <c r="D50" s="7" t="s">
        <v>15</v>
      </c>
    </row>
    <row r="51" spans="1:4" ht="13.5" customHeight="1" x14ac:dyDescent="0.3">
      <c r="A51" s="8" t="str">
        <f>A46</f>
        <v>Not Admitted</v>
      </c>
      <c r="B51" s="8">
        <f>B46</f>
        <v>253</v>
      </c>
      <c r="C51" s="9">
        <f>C46</f>
        <v>0.5</v>
      </c>
      <c r="D51" s="10"/>
    </row>
    <row r="52" spans="1:4" ht="13.5" customHeight="1" x14ac:dyDescent="0.3">
      <c r="A52" s="8" t="str">
        <f>A45</f>
        <v>Admitted</v>
      </c>
      <c r="B52" s="8">
        <f>B45</f>
        <v>253</v>
      </c>
      <c r="C52" s="9">
        <f>C45</f>
        <v>0.5</v>
      </c>
      <c r="D52" s="10"/>
    </row>
    <row r="56" spans="1:4" x14ac:dyDescent="0.3">
      <c r="A56" t="s">
        <v>16</v>
      </c>
    </row>
    <row r="57" spans="1:4" x14ac:dyDescent="0.3">
      <c r="A57" s="1" t="s">
        <v>6</v>
      </c>
      <c r="B57" t="s">
        <v>17</v>
      </c>
    </row>
    <row r="58" spans="1:4" x14ac:dyDescent="0.3">
      <c r="A58" s="4" t="s">
        <v>26</v>
      </c>
      <c r="B58" s="14">
        <v>64</v>
      </c>
    </row>
    <row r="59" spans="1:4" x14ac:dyDescent="0.3">
      <c r="A59" s="4" t="s">
        <v>27</v>
      </c>
      <c r="B59" s="14">
        <v>66</v>
      </c>
    </row>
    <row r="60" spans="1:4" x14ac:dyDescent="0.3">
      <c r="A60" s="4" t="s">
        <v>28</v>
      </c>
      <c r="B60" s="14">
        <v>65</v>
      </c>
    </row>
    <row r="61" spans="1:4" x14ac:dyDescent="0.3">
      <c r="A61" s="4" t="s">
        <v>29</v>
      </c>
      <c r="B61" s="14">
        <v>73</v>
      </c>
    </row>
    <row r="62" spans="1:4" x14ac:dyDescent="0.3">
      <c r="A62" s="4" t="s">
        <v>30</v>
      </c>
      <c r="B62" s="14">
        <v>45</v>
      </c>
    </row>
    <row r="63" spans="1:4" x14ac:dyDescent="0.3">
      <c r="A63" s="4" t="s">
        <v>31</v>
      </c>
      <c r="B63" s="14">
        <v>72</v>
      </c>
    </row>
    <row r="64" spans="1:4" x14ac:dyDescent="0.3">
      <c r="A64" s="4" t="s">
        <v>32</v>
      </c>
      <c r="B64" s="14">
        <v>74</v>
      </c>
    </row>
    <row r="65" spans="1:2" x14ac:dyDescent="0.3">
      <c r="A65" s="4" t="s">
        <v>33</v>
      </c>
      <c r="B65" s="14">
        <v>47</v>
      </c>
    </row>
    <row r="66" spans="1:2" x14ac:dyDescent="0.3">
      <c r="A66" s="4" t="s">
        <v>9</v>
      </c>
      <c r="B66" s="14">
        <v>506</v>
      </c>
    </row>
    <row r="70" spans="1:2" x14ac:dyDescent="0.3">
      <c r="A70" t="s">
        <v>18</v>
      </c>
    </row>
    <row r="71" spans="1:2" x14ac:dyDescent="0.3">
      <c r="A71" s="1" t="s">
        <v>6</v>
      </c>
      <c r="B71" t="s">
        <v>19</v>
      </c>
    </row>
    <row r="72" spans="1:2" x14ac:dyDescent="0.3">
      <c r="A72" s="4" t="s">
        <v>34</v>
      </c>
      <c r="B72" s="14">
        <v>312</v>
      </c>
    </row>
    <row r="73" spans="1:2" x14ac:dyDescent="0.3">
      <c r="A73" s="4" t="s">
        <v>35</v>
      </c>
      <c r="B73" s="14">
        <v>194</v>
      </c>
    </row>
    <row r="74" spans="1:2" x14ac:dyDescent="0.3">
      <c r="A74" s="4" t="s">
        <v>9</v>
      </c>
      <c r="B74" s="14">
        <v>506</v>
      </c>
    </row>
    <row r="78" spans="1:2" x14ac:dyDescent="0.3">
      <c r="A78" t="s">
        <v>20</v>
      </c>
    </row>
    <row r="79" spans="1:2" x14ac:dyDescent="0.3">
      <c r="A79" s="1" t="s">
        <v>6</v>
      </c>
      <c r="B79" t="s">
        <v>21</v>
      </c>
    </row>
    <row r="80" spans="1:2" x14ac:dyDescent="0.3">
      <c r="A80" s="4" t="s">
        <v>36</v>
      </c>
      <c r="B80" s="14">
        <v>231</v>
      </c>
    </row>
    <row r="81" spans="1:2" x14ac:dyDescent="0.3">
      <c r="A81" s="4" t="s">
        <v>37</v>
      </c>
      <c r="B81" s="14">
        <v>275</v>
      </c>
    </row>
    <row r="82" spans="1:2" x14ac:dyDescent="0.3">
      <c r="A82" s="4" t="s">
        <v>9</v>
      </c>
      <c r="B82" s="14">
        <v>506</v>
      </c>
    </row>
    <row r="86" spans="1:2" x14ac:dyDescent="0.3">
      <c r="A86" s="1" t="s">
        <v>6</v>
      </c>
      <c r="B86" t="s">
        <v>22</v>
      </c>
    </row>
    <row r="87" spans="1:2" x14ac:dyDescent="0.3">
      <c r="A87" s="4" t="s">
        <v>38</v>
      </c>
      <c r="B87" s="14">
        <v>3</v>
      </c>
    </row>
    <row r="88" spans="1:2" x14ac:dyDescent="0.3">
      <c r="A88" s="4" t="s">
        <v>39</v>
      </c>
      <c r="B88" s="14">
        <v>5</v>
      </c>
    </row>
    <row r="89" spans="1:2" x14ac:dyDescent="0.3">
      <c r="A89" s="4" t="s">
        <v>40</v>
      </c>
      <c r="B89" s="14">
        <v>6</v>
      </c>
    </row>
    <row r="90" spans="1:2" x14ac:dyDescent="0.3">
      <c r="A90" s="4" t="s">
        <v>41</v>
      </c>
      <c r="B90" s="14">
        <v>14</v>
      </c>
    </row>
    <row r="91" spans="1:2" x14ac:dyDescent="0.3">
      <c r="A91" s="4" t="s">
        <v>42</v>
      </c>
      <c r="B91" s="14">
        <v>15</v>
      </c>
    </row>
    <row r="92" spans="1:2" x14ac:dyDescent="0.3">
      <c r="A92" s="4" t="s">
        <v>43</v>
      </c>
      <c r="B92" s="14">
        <v>59</v>
      </c>
    </row>
    <row r="93" spans="1:2" x14ac:dyDescent="0.3">
      <c r="A93" s="4" t="s">
        <v>44</v>
      </c>
      <c r="B93" s="14">
        <v>93</v>
      </c>
    </row>
    <row r="94" spans="1:2" x14ac:dyDescent="0.3">
      <c r="A94" s="4" t="s">
        <v>45</v>
      </c>
      <c r="B94" s="14">
        <v>311</v>
      </c>
    </row>
    <row r="95" spans="1:2" x14ac:dyDescent="0.3">
      <c r="A95" s="4" t="s">
        <v>9</v>
      </c>
      <c r="B95" s="14">
        <v>506</v>
      </c>
    </row>
  </sheetData>
  <pageMargins left="0.7" right="0.7" top="0.75" bottom="0.75" header="0.3" footer="0.3"/>
  <drawing r:id="rId1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F0283-3257-4977-844B-BCD595F029D2}">
  <dimension ref="A1:M18"/>
  <sheetViews>
    <sheetView tabSelected="1" zoomScale="162" zoomScaleNormal="139" workbookViewId="0">
      <selection activeCell="G17" sqref="G17"/>
    </sheetView>
  </sheetViews>
  <sheetFormatPr defaultRowHeight="14.4" x14ac:dyDescent="0.3"/>
  <sheetData>
    <row r="1" spans="1:13" x14ac:dyDescent="0.3">
      <c r="A1" s="3"/>
      <c r="B1" s="3"/>
      <c r="C1" s="3"/>
      <c r="D1" s="3"/>
      <c r="E1" s="3"/>
      <c r="F1" s="3"/>
      <c r="G1" s="3"/>
      <c r="H1" s="3"/>
      <c r="I1" s="3"/>
      <c r="J1" s="3"/>
      <c r="K1" s="3"/>
      <c r="L1" s="3"/>
      <c r="M1" s="3"/>
    </row>
    <row r="2" spans="1:13" x14ac:dyDescent="0.3">
      <c r="A2" s="3"/>
      <c r="B2" s="3"/>
      <c r="C2" s="3"/>
      <c r="D2" s="3"/>
      <c r="E2" s="3"/>
      <c r="F2" s="3"/>
      <c r="G2" s="3"/>
      <c r="H2" s="3"/>
      <c r="I2" s="3"/>
      <c r="J2" s="3"/>
      <c r="K2" s="3"/>
      <c r="L2" s="3"/>
      <c r="M2" s="3"/>
    </row>
    <row r="3" spans="1:13" x14ac:dyDescent="0.3">
      <c r="A3" s="3"/>
      <c r="B3" s="3"/>
      <c r="C3" s="3"/>
      <c r="D3" s="3"/>
      <c r="E3" s="3"/>
      <c r="F3" s="3"/>
      <c r="G3" s="3"/>
      <c r="H3" s="3"/>
      <c r="I3" s="3"/>
      <c r="J3" s="3"/>
      <c r="K3" s="3"/>
      <c r="L3" s="3"/>
      <c r="M3" s="3"/>
    </row>
    <row r="4" spans="1:13" x14ac:dyDescent="0.3">
      <c r="A4" s="3"/>
      <c r="B4" s="3"/>
      <c r="C4" s="3"/>
      <c r="D4" s="3"/>
      <c r="E4" s="3"/>
      <c r="F4" s="3"/>
      <c r="G4" s="3"/>
      <c r="H4" s="3"/>
      <c r="I4" s="3"/>
      <c r="J4" s="3"/>
      <c r="K4" s="3"/>
      <c r="L4" s="3"/>
      <c r="M4" s="3"/>
    </row>
    <row r="5" spans="1:13" x14ac:dyDescent="0.3">
      <c r="A5" s="3"/>
      <c r="B5" s="3"/>
      <c r="C5" s="3"/>
      <c r="D5" s="3"/>
      <c r="E5" s="3"/>
      <c r="F5" s="3"/>
      <c r="G5" s="3"/>
      <c r="H5" s="3"/>
      <c r="I5" s="3"/>
      <c r="J5" s="3"/>
      <c r="K5" s="3"/>
      <c r="L5" s="3"/>
      <c r="M5" s="3"/>
    </row>
    <row r="6" spans="1:13" x14ac:dyDescent="0.3">
      <c r="A6" s="3"/>
      <c r="B6" s="3"/>
      <c r="C6" s="3"/>
      <c r="D6" s="3"/>
      <c r="E6" s="3"/>
      <c r="F6" s="3"/>
      <c r="G6" s="3"/>
      <c r="H6" s="3"/>
      <c r="I6" s="3"/>
      <c r="J6" s="3"/>
      <c r="K6" s="3"/>
      <c r="L6" s="3"/>
      <c r="M6" s="3"/>
    </row>
    <row r="7" spans="1:13" x14ac:dyDescent="0.3">
      <c r="A7" s="3"/>
      <c r="B7" s="3"/>
      <c r="C7" s="3"/>
      <c r="D7" s="3"/>
      <c r="E7" s="3"/>
      <c r="F7" s="3"/>
      <c r="G7" s="3"/>
      <c r="H7" s="3"/>
      <c r="I7" s="3"/>
      <c r="J7" s="3"/>
      <c r="K7" s="3"/>
      <c r="L7" s="3"/>
      <c r="M7" s="3"/>
    </row>
    <row r="8" spans="1:13" x14ac:dyDescent="0.3">
      <c r="A8" s="3"/>
      <c r="B8" s="3"/>
      <c r="C8" s="3"/>
      <c r="D8" s="3"/>
      <c r="E8" s="3"/>
      <c r="F8" s="3"/>
      <c r="G8" s="3"/>
      <c r="H8" s="3"/>
      <c r="I8" s="3"/>
      <c r="J8" s="3"/>
      <c r="K8" s="3"/>
      <c r="L8" s="3"/>
      <c r="M8" s="3"/>
    </row>
    <row r="9" spans="1:13" x14ac:dyDescent="0.3">
      <c r="A9" s="3"/>
      <c r="B9" s="3"/>
      <c r="C9" s="3"/>
      <c r="D9" s="3"/>
      <c r="E9" s="3"/>
      <c r="F9" s="3"/>
      <c r="G9" s="3"/>
      <c r="H9" s="3"/>
      <c r="I9" s="3"/>
      <c r="J9" s="3"/>
      <c r="K9" s="3"/>
      <c r="L9" s="3"/>
      <c r="M9" s="3"/>
    </row>
    <row r="10" spans="1:13" x14ac:dyDescent="0.3">
      <c r="A10" s="3"/>
      <c r="B10" s="3"/>
      <c r="C10" s="3"/>
      <c r="D10" s="3"/>
      <c r="E10" s="3"/>
      <c r="F10" s="3"/>
      <c r="G10" s="3"/>
      <c r="H10" s="3"/>
      <c r="I10" s="3"/>
      <c r="J10" s="3"/>
      <c r="K10" s="3"/>
      <c r="L10" s="3"/>
      <c r="M10" s="3"/>
    </row>
    <row r="11" spans="1:13" x14ac:dyDescent="0.3">
      <c r="A11" s="3"/>
      <c r="B11" s="3"/>
      <c r="C11" s="3"/>
      <c r="D11" s="3"/>
      <c r="E11" s="3"/>
      <c r="F11" s="3"/>
      <c r="G11" s="3"/>
      <c r="H11" s="3"/>
      <c r="I11" s="3"/>
      <c r="J11" s="3"/>
      <c r="K11" s="3"/>
      <c r="L11" s="3"/>
      <c r="M11" s="3"/>
    </row>
    <row r="12" spans="1:13" x14ac:dyDescent="0.3">
      <c r="A12" s="3"/>
      <c r="B12" s="3"/>
      <c r="C12" s="3"/>
      <c r="D12" s="3"/>
      <c r="E12" s="3"/>
      <c r="F12" s="3"/>
      <c r="G12" s="3"/>
      <c r="H12" s="3"/>
      <c r="I12" s="3"/>
      <c r="J12" s="3"/>
      <c r="K12" s="3"/>
      <c r="L12" s="3"/>
      <c r="M12" s="3"/>
    </row>
    <row r="13" spans="1:13" x14ac:dyDescent="0.3">
      <c r="A13" s="3"/>
      <c r="B13" s="3"/>
      <c r="C13" s="3"/>
      <c r="D13" s="3"/>
      <c r="E13" s="3"/>
      <c r="F13" s="3"/>
      <c r="G13" s="3"/>
      <c r="H13" s="3"/>
      <c r="I13" s="3"/>
      <c r="J13" s="3"/>
      <c r="K13" s="3"/>
      <c r="L13" s="3"/>
      <c r="M13" s="3"/>
    </row>
    <row r="14" spans="1:13" x14ac:dyDescent="0.3">
      <c r="A14" s="3"/>
      <c r="B14" s="3"/>
      <c r="C14" s="3"/>
      <c r="D14" s="3"/>
      <c r="E14" s="3"/>
      <c r="F14" s="3"/>
      <c r="G14" s="3"/>
      <c r="H14" s="3"/>
      <c r="I14" s="3"/>
      <c r="J14" s="3"/>
      <c r="K14" s="3"/>
      <c r="L14" s="3"/>
      <c r="M14" s="3"/>
    </row>
    <row r="15" spans="1:13" x14ac:dyDescent="0.3">
      <c r="A15" s="3"/>
      <c r="B15" s="3"/>
      <c r="C15" s="3"/>
      <c r="D15" s="3"/>
      <c r="E15" s="3"/>
      <c r="F15" s="3"/>
      <c r="G15" s="3"/>
      <c r="H15" s="3"/>
      <c r="I15" s="3"/>
      <c r="J15" s="3"/>
      <c r="K15" s="3"/>
      <c r="L15" s="3"/>
      <c r="M15" s="3"/>
    </row>
    <row r="16" spans="1:13" x14ac:dyDescent="0.3">
      <c r="A16" s="3"/>
      <c r="B16" s="3"/>
      <c r="C16" s="3"/>
      <c r="D16" s="3"/>
      <c r="E16" s="3"/>
      <c r="F16" s="3"/>
      <c r="G16" s="3"/>
      <c r="H16" s="3"/>
      <c r="I16" s="3"/>
      <c r="J16" s="3"/>
      <c r="K16" s="3"/>
      <c r="L16" s="3"/>
      <c r="M16" s="3"/>
    </row>
    <row r="18" spans="4:4" x14ac:dyDescent="0.3">
      <c r="D18" t="s">
        <v>23</v>
      </c>
    </row>
  </sheetData>
  <pageMargins left="0.7" right="0.7" top="0.75" bottom="0.75" header="0.3" footer="0.3"/>
  <pageSetup orientation="portrait" r:id="rId1"/>
  <drawing r:id="rId2"/>
  <legacy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C0A511-689E-4CF9-91DB-A3978FB4079E}">
  <dimension ref="A1:J18"/>
  <sheetViews>
    <sheetView topLeftCell="G1" zoomScale="138" workbookViewId="0"/>
  </sheetViews>
  <sheetFormatPr defaultRowHeight="14.4" x14ac:dyDescent="0.3"/>
  <sheetData>
    <row r="1" spans="1:10" x14ac:dyDescent="0.3">
      <c r="A1" s="5"/>
      <c r="B1" s="5"/>
      <c r="C1" s="5"/>
      <c r="D1" s="5"/>
      <c r="E1" s="5"/>
      <c r="F1" s="5"/>
      <c r="G1" s="5"/>
      <c r="H1" s="5"/>
      <c r="I1" s="5"/>
      <c r="J1" s="5"/>
    </row>
    <row r="2" spans="1:10" x14ac:dyDescent="0.3">
      <c r="A2" s="5"/>
      <c r="B2" s="5"/>
      <c r="C2" s="5"/>
      <c r="D2" s="5"/>
      <c r="E2" s="5"/>
      <c r="F2" s="5"/>
      <c r="G2" s="5"/>
      <c r="H2" s="5"/>
      <c r="I2" s="5"/>
      <c r="J2" s="5"/>
    </row>
    <row r="3" spans="1:10" x14ac:dyDescent="0.3">
      <c r="A3" s="5"/>
      <c r="B3" s="5"/>
      <c r="C3" s="5"/>
      <c r="D3" s="5"/>
      <c r="E3" s="5"/>
      <c r="F3" s="5"/>
      <c r="G3" s="5"/>
      <c r="H3" s="5"/>
      <c r="I3" s="5"/>
      <c r="J3" s="5"/>
    </row>
    <row r="4" spans="1:10" x14ac:dyDescent="0.3">
      <c r="A4" s="5"/>
      <c r="B4" s="5"/>
      <c r="C4" s="5"/>
      <c r="D4" s="5"/>
      <c r="E4" s="5"/>
      <c r="F4" s="5"/>
      <c r="G4" s="5"/>
      <c r="H4" s="5"/>
      <c r="I4" s="5"/>
      <c r="J4" s="5"/>
    </row>
    <row r="5" spans="1:10" x14ac:dyDescent="0.3">
      <c r="A5" s="5"/>
      <c r="B5" s="5"/>
      <c r="C5" s="5"/>
      <c r="D5" s="5"/>
      <c r="E5" s="5"/>
      <c r="F5" s="5"/>
      <c r="G5" s="5"/>
      <c r="H5" s="5"/>
      <c r="I5" s="5"/>
      <c r="J5" s="5"/>
    </row>
    <row r="6" spans="1:10" x14ac:dyDescent="0.3">
      <c r="A6" s="6"/>
      <c r="B6" s="5"/>
      <c r="C6" s="5"/>
      <c r="D6" s="5"/>
      <c r="E6" s="5"/>
      <c r="F6" s="5"/>
      <c r="G6" s="5"/>
      <c r="H6" s="5"/>
      <c r="I6" s="5"/>
      <c r="J6" s="5"/>
    </row>
    <row r="7" spans="1:10" x14ac:dyDescent="0.3">
      <c r="A7" s="5"/>
      <c r="B7" s="5"/>
      <c r="C7" s="5"/>
      <c r="D7" s="5"/>
      <c r="E7" s="5"/>
      <c r="F7" s="5"/>
      <c r="G7" s="5"/>
      <c r="H7" s="5"/>
      <c r="I7" s="5"/>
      <c r="J7" s="5"/>
    </row>
    <row r="8" spans="1:10" x14ac:dyDescent="0.3">
      <c r="A8" s="5"/>
      <c r="B8" s="5"/>
      <c r="C8" s="5"/>
      <c r="D8" s="5"/>
      <c r="E8" s="5"/>
      <c r="F8" s="5"/>
      <c r="G8" s="5"/>
      <c r="H8" s="5"/>
      <c r="I8" s="5"/>
      <c r="J8" s="5"/>
    </row>
    <row r="9" spans="1:10" x14ac:dyDescent="0.3">
      <c r="A9" s="5"/>
      <c r="B9" s="5"/>
      <c r="C9" s="5"/>
      <c r="D9" s="5"/>
      <c r="E9" s="5"/>
      <c r="F9" s="5"/>
      <c r="G9" s="5"/>
      <c r="H9" s="5"/>
      <c r="I9" s="5"/>
      <c r="J9" s="5"/>
    </row>
    <row r="10" spans="1:10" x14ac:dyDescent="0.3">
      <c r="A10" s="5"/>
      <c r="B10" s="5"/>
      <c r="C10" s="5"/>
      <c r="D10" s="5"/>
      <c r="E10" s="5"/>
      <c r="F10" s="5"/>
      <c r="G10" s="5"/>
      <c r="H10" s="5"/>
      <c r="I10" s="5"/>
      <c r="J10" s="5"/>
    </row>
    <row r="11" spans="1:10" x14ac:dyDescent="0.3">
      <c r="A11" s="5"/>
      <c r="B11" s="5"/>
      <c r="C11" s="5"/>
      <c r="D11" s="5"/>
      <c r="E11" s="5"/>
      <c r="F11" s="5"/>
      <c r="G11" s="5"/>
      <c r="H11" s="5"/>
      <c r="I11" s="5"/>
      <c r="J11" s="5"/>
    </row>
    <row r="12" spans="1:10" x14ac:dyDescent="0.3">
      <c r="A12" s="5"/>
      <c r="B12" s="5"/>
      <c r="C12" s="5"/>
      <c r="D12" s="5"/>
      <c r="E12" s="5"/>
      <c r="F12" s="5"/>
      <c r="G12" s="5"/>
      <c r="H12" s="5"/>
      <c r="I12" s="5"/>
      <c r="J12" s="5"/>
    </row>
    <row r="13" spans="1:10" x14ac:dyDescent="0.3">
      <c r="A13" s="5"/>
      <c r="B13" s="5"/>
      <c r="C13" s="5"/>
      <c r="D13" s="5"/>
      <c r="E13" s="5"/>
      <c r="F13" s="5"/>
      <c r="G13" s="5"/>
      <c r="H13" s="5"/>
      <c r="I13" s="5"/>
      <c r="J13" s="5"/>
    </row>
    <row r="14" spans="1:10" x14ac:dyDescent="0.3">
      <c r="A14" s="5"/>
      <c r="B14" s="5"/>
      <c r="C14" s="5"/>
      <c r="D14" s="5"/>
      <c r="E14" s="5"/>
      <c r="F14" s="5"/>
      <c r="G14" s="5"/>
      <c r="H14" s="5"/>
      <c r="I14" s="5"/>
      <c r="J14" s="5"/>
    </row>
    <row r="15" spans="1:10" x14ac:dyDescent="0.3">
      <c r="A15" s="5"/>
      <c r="B15" s="5"/>
      <c r="C15" s="5"/>
      <c r="D15" s="5"/>
      <c r="E15" s="5"/>
      <c r="F15" s="5"/>
      <c r="G15" s="5"/>
      <c r="H15" s="5"/>
      <c r="I15" s="5"/>
      <c r="J15" s="5"/>
    </row>
    <row r="16" spans="1:10" x14ac:dyDescent="0.3">
      <c r="A16" s="5"/>
      <c r="B16" s="5"/>
      <c r="C16" s="5"/>
      <c r="D16" s="5"/>
      <c r="E16" s="5"/>
      <c r="F16" s="5"/>
      <c r="G16" s="5"/>
      <c r="H16" s="5"/>
      <c r="I16" s="5"/>
      <c r="J16" s="5"/>
    </row>
    <row r="17" spans="1:10" x14ac:dyDescent="0.3">
      <c r="A17" s="5"/>
      <c r="B17" s="5"/>
      <c r="C17" s="5"/>
      <c r="D17" s="5"/>
      <c r="E17" s="5"/>
      <c r="F17" s="5"/>
      <c r="G17" s="5"/>
      <c r="H17" s="5"/>
      <c r="I17" s="5"/>
      <c r="J17" s="5"/>
    </row>
    <row r="18" spans="1:10" x14ac:dyDescent="0.3">
      <c r="A18" s="5"/>
      <c r="B18" s="5"/>
      <c r="C18" s="5"/>
      <c r="D18" s="5"/>
      <c r="E18" s="5"/>
      <c r="F18" s="5"/>
      <c r="G18" s="5"/>
      <c r="H18" s="5"/>
      <c r="I18" s="5"/>
      <c r="J18" s="5"/>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5FB4EB-8CC5-481D-A9D6-E6244CBBDE78}">
  <dimension ref="A1:N24"/>
  <sheetViews>
    <sheetView zoomScale="97" workbookViewId="0"/>
  </sheetViews>
  <sheetFormatPr defaultRowHeight="14.4" x14ac:dyDescent="0.3"/>
  <sheetData>
    <row r="1" spans="1:14" x14ac:dyDescent="0.3">
      <c r="A1" s="5"/>
      <c r="B1" s="5"/>
      <c r="C1" s="5"/>
      <c r="D1" s="5"/>
      <c r="E1" s="5"/>
      <c r="F1" s="5"/>
      <c r="G1" s="5"/>
      <c r="H1" s="5"/>
      <c r="I1" s="5"/>
      <c r="J1" s="5"/>
      <c r="K1" s="5"/>
      <c r="L1" s="5"/>
      <c r="M1" s="5"/>
      <c r="N1" s="5"/>
    </row>
    <row r="2" spans="1:14" x14ac:dyDescent="0.3">
      <c r="A2" s="5"/>
      <c r="B2" s="5"/>
      <c r="C2" s="5"/>
      <c r="D2" s="5"/>
      <c r="E2" s="5"/>
      <c r="F2" s="5"/>
      <c r="G2" s="5"/>
      <c r="H2" s="5"/>
      <c r="I2" s="5"/>
      <c r="J2" s="5"/>
      <c r="K2" s="5"/>
      <c r="L2" s="5"/>
      <c r="M2" s="5"/>
      <c r="N2" s="5"/>
    </row>
    <row r="3" spans="1:14" x14ac:dyDescent="0.3">
      <c r="A3" s="5"/>
      <c r="B3" s="5"/>
      <c r="C3" s="5"/>
      <c r="D3" s="5"/>
      <c r="E3" s="5"/>
      <c r="F3" s="5"/>
      <c r="G3" s="5"/>
      <c r="H3" s="5"/>
      <c r="I3" s="5"/>
      <c r="J3" s="5"/>
      <c r="K3" s="5"/>
      <c r="L3" s="5"/>
      <c r="M3" s="5"/>
      <c r="N3" s="5"/>
    </row>
    <row r="4" spans="1:14" x14ac:dyDescent="0.3">
      <c r="A4" s="5"/>
      <c r="B4" s="5"/>
      <c r="C4" s="5"/>
      <c r="D4" s="5"/>
      <c r="E4" s="5"/>
      <c r="F4" s="5"/>
      <c r="G4" s="5"/>
      <c r="H4" s="5"/>
      <c r="I4" s="5"/>
      <c r="J4" s="5"/>
      <c r="K4" s="5"/>
      <c r="L4" s="5"/>
      <c r="M4" s="5"/>
      <c r="N4" s="5"/>
    </row>
    <row r="5" spans="1:14" x14ac:dyDescent="0.3">
      <c r="A5" s="5"/>
      <c r="B5" s="5"/>
      <c r="C5" s="5"/>
      <c r="D5" s="5"/>
      <c r="E5" s="5"/>
      <c r="F5" s="5"/>
      <c r="G5" s="5"/>
      <c r="H5" s="5"/>
      <c r="I5" s="5"/>
      <c r="J5" s="5"/>
      <c r="K5" s="5"/>
      <c r="L5" s="5"/>
      <c r="M5" s="5"/>
      <c r="N5" s="5"/>
    </row>
    <row r="6" spans="1:14" x14ac:dyDescent="0.3">
      <c r="A6" s="5"/>
      <c r="B6" s="5"/>
      <c r="C6" s="5"/>
      <c r="D6" s="5"/>
      <c r="E6" s="5"/>
      <c r="F6" s="5"/>
      <c r="G6" s="5"/>
      <c r="H6" s="5"/>
      <c r="I6" s="5"/>
      <c r="J6" s="5"/>
      <c r="K6" s="5"/>
      <c r="L6" s="5"/>
      <c r="M6" s="5"/>
      <c r="N6" s="5"/>
    </row>
    <row r="7" spans="1:14" x14ac:dyDescent="0.3">
      <c r="A7" s="5"/>
      <c r="B7" s="5"/>
      <c r="C7" s="5"/>
      <c r="D7" s="5"/>
      <c r="E7" s="5"/>
      <c r="F7" s="5"/>
      <c r="G7" s="5"/>
      <c r="H7" s="5"/>
      <c r="I7" s="5"/>
      <c r="J7" s="5"/>
      <c r="K7" s="5"/>
      <c r="L7" s="5"/>
      <c r="M7" s="5"/>
      <c r="N7" s="5"/>
    </row>
    <row r="8" spans="1:14" x14ac:dyDescent="0.3">
      <c r="A8" s="5"/>
      <c r="B8" s="5"/>
      <c r="C8" s="5"/>
      <c r="D8" s="5"/>
      <c r="E8" s="5"/>
      <c r="F8" s="5"/>
      <c r="G8" s="5"/>
      <c r="H8" s="5"/>
      <c r="I8" s="5"/>
      <c r="J8" s="5"/>
      <c r="K8" s="5"/>
      <c r="L8" s="5"/>
      <c r="M8" s="5"/>
      <c r="N8" s="5"/>
    </row>
    <row r="9" spans="1:14" x14ac:dyDescent="0.3">
      <c r="A9" s="5"/>
      <c r="B9" s="5"/>
      <c r="C9" s="5"/>
      <c r="D9" s="5"/>
      <c r="E9" s="5"/>
      <c r="F9" s="5"/>
      <c r="G9" s="5"/>
      <c r="H9" s="5"/>
      <c r="I9" s="5"/>
      <c r="J9" s="5"/>
      <c r="K9" s="5"/>
      <c r="L9" s="5"/>
      <c r="M9" s="5"/>
      <c r="N9" s="5"/>
    </row>
    <row r="10" spans="1:14" x14ac:dyDescent="0.3">
      <c r="A10" s="5"/>
      <c r="B10" s="5"/>
      <c r="C10" s="5"/>
      <c r="D10" s="5"/>
      <c r="E10" s="5"/>
      <c r="F10" s="5"/>
      <c r="G10" s="5"/>
      <c r="H10" s="5"/>
      <c r="I10" s="5"/>
      <c r="J10" s="5"/>
      <c r="K10" s="5"/>
      <c r="L10" s="5"/>
      <c r="M10" s="5"/>
      <c r="N10" s="5"/>
    </row>
    <row r="11" spans="1:14" x14ac:dyDescent="0.3">
      <c r="A11" s="5"/>
      <c r="B11" s="5"/>
      <c r="C11" s="5"/>
      <c r="D11" s="5"/>
      <c r="E11" s="5"/>
      <c r="F11" s="5"/>
      <c r="G11" s="5"/>
      <c r="H11" s="5"/>
      <c r="I11" s="5"/>
      <c r="J11" s="5"/>
      <c r="K11" s="5"/>
      <c r="L11" s="5"/>
      <c r="M11" s="5"/>
      <c r="N11" s="5"/>
    </row>
    <row r="12" spans="1:14" x14ac:dyDescent="0.3">
      <c r="A12" s="5"/>
      <c r="B12" s="5"/>
      <c r="C12" s="5"/>
      <c r="D12" s="5"/>
      <c r="E12" s="5"/>
      <c r="F12" s="5"/>
      <c r="G12" s="5"/>
      <c r="H12" s="5"/>
      <c r="I12" s="5"/>
      <c r="J12" s="5"/>
      <c r="K12" s="5"/>
      <c r="L12" s="5"/>
      <c r="M12" s="5"/>
      <c r="N12" s="5"/>
    </row>
    <row r="13" spans="1:14" x14ac:dyDescent="0.3">
      <c r="A13" s="5"/>
      <c r="B13" s="5"/>
      <c r="C13" s="5"/>
      <c r="D13" s="5"/>
      <c r="E13" s="5"/>
      <c r="F13" s="5"/>
      <c r="G13" s="5"/>
      <c r="H13" s="5"/>
      <c r="I13" s="5"/>
      <c r="J13" s="5"/>
      <c r="K13" s="5"/>
      <c r="L13" s="5"/>
      <c r="M13" s="5"/>
      <c r="N13" s="5"/>
    </row>
    <row r="14" spans="1:14" x14ac:dyDescent="0.3">
      <c r="A14" s="5"/>
      <c r="B14" s="5"/>
      <c r="C14" s="5"/>
      <c r="D14" s="5"/>
      <c r="E14" s="5"/>
      <c r="F14" s="5"/>
      <c r="G14" s="5"/>
      <c r="H14" s="5"/>
      <c r="I14" s="5"/>
      <c r="J14" s="5"/>
      <c r="K14" s="5"/>
      <c r="L14" s="5"/>
      <c r="M14" s="5"/>
      <c r="N14" s="5"/>
    </row>
    <row r="15" spans="1:14" x14ac:dyDescent="0.3">
      <c r="A15" s="5"/>
      <c r="B15" s="5"/>
      <c r="C15" s="5"/>
      <c r="D15" s="5"/>
      <c r="E15" s="5"/>
      <c r="F15" s="5"/>
      <c r="G15" s="5"/>
      <c r="H15" s="5"/>
      <c r="I15" s="5"/>
      <c r="J15" s="5"/>
      <c r="K15" s="5"/>
      <c r="L15" s="5"/>
      <c r="M15" s="5"/>
      <c r="N15" s="5"/>
    </row>
    <row r="16" spans="1:14" x14ac:dyDescent="0.3">
      <c r="A16" s="5"/>
      <c r="B16" s="5"/>
      <c r="C16" s="5"/>
      <c r="D16" s="5"/>
      <c r="E16" s="5"/>
      <c r="F16" s="5"/>
      <c r="G16" s="5"/>
      <c r="H16" s="5"/>
      <c r="I16" s="5"/>
      <c r="J16" s="5"/>
      <c r="K16" s="5"/>
      <c r="L16" s="5"/>
      <c r="M16" s="5"/>
      <c r="N16" s="5"/>
    </row>
    <row r="17" spans="1:14" x14ac:dyDescent="0.3">
      <c r="A17" s="5"/>
      <c r="B17" s="5"/>
      <c r="C17" s="5"/>
      <c r="D17" s="5"/>
      <c r="E17" s="5"/>
      <c r="F17" s="5"/>
      <c r="G17" s="5"/>
      <c r="H17" s="5"/>
      <c r="I17" s="5"/>
      <c r="J17" s="5"/>
      <c r="K17" s="5"/>
      <c r="L17" s="5"/>
      <c r="M17" s="5"/>
      <c r="N17" s="5"/>
    </row>
    <row r="18" spans="1:14" x14ac:dyDescent="0.3">
      <c r="A18" s="5"/>
      <c r="B18" s="5"/>
      <c r="C18" s="5"/>
      <c r="D18" s="5"/>
      <c r="E18" s="5"/>
      <c r="F18" s="5"/>
      <c r="G18" s="5"/>
      <c r="H18" s="5"/>
      <c r="I18" s="5"/>
      <c r="J18" s="5"/>
      <c r="K18" s="5"/>
      <c r="L18" s="5"/>
      <c r="M18" s="5"/>
      <c r="N18" s="5"/>
    </row>
    <row r="19" spans="1:14" x14ac:dyDescent="0.3">
      <c r="A19" s="5"/>
      <c r="B19" s="5"/>
      <c r="C19" s="5"/>
      <c r="D19" s="5"/>
      <c r="E19" s="5"/>
      <c r="F19" s="5"/>
      <c r="G19" s="5"/>
      <c r="H19" s="5"/>
      <c r="I19" s="5"/>
      <c r="J19" s="5"/>
      <c r="K19" s="5"/>
      <c r="L19" s="5"/>
      <c r="M19" s="5"/>
      <c r="N19" s="5"/>
    </row>
    <row r="20" spans="1:14" x14ac:dyDescent="0.3">
      <c r="A20" s="5"/>
      <c r="B20" s="5"/>
      <c r="C20" s="5"/>
      <c r="D20" s="5"/>
      <c r="E20" s="5"/>
      <c r="F20" s="5"/>
      <c r="G20" s="5"/>
      <c r="H20" s="5"/>
      <c r="I20" s="5"/>
      <c r="J20" s="5"/>
      <c r="K20" s="5"/>
      <c r="L20" s="5"/>
      <c r="M20" s="5"/>
      <c r="N20" s="5"/>
    </row>
    <row r="21" spans="1:14" x14ac:dyDescent="0.3">
      <c r="A21" s="5"/>
      <c r="B21" s="5"/>
      <c r="C21" s="5"/>
      <c r="D21" s="5"/>
      <c r="E21" s="5"/>
      <c r="F21" s="5"/>
      <c r="G21" s="5"/>
      <c r="H21" s="5"/>
      <c r="I21" s="5"/>
      <c r="J21" s="5"/>
      <c r="K21" s="5"/>
      <c r="L21" s="5"/>
      <c r="M21" s="5"/>
      <c r="N21" s="5"/>
    </row>
    <row r="22" spans="1:14" x14ac:dyDescent="0.3">
      <c r="A22" s="5"/>
      <c r="B22" s="5"/>
      <c r="C22" s="5"/>
      <c r="D22" s="5"/>
      <c r="E22" s="5"/>
      <c r="F22" s="5"/>
      <c r="G22" s="5"/>
      <c r="H22" s="5"/>
      <c r="I22" s="5"/>
      <c r="J22" s="5"/>
      <c r="K22" s="5"/>
      <c r="L22" s="5"/>
      <c r="M22" s="5"/>
      <c r="N22" s="5"/>
    </row>
    <row r="23" spans="1:14" x14ac:dyDescent="0.3">
      <c r="A23" s="5"/>
      <c r="B23" s="5"/>
      <c r="C23" s="5"/>
      <c r="D23" s="5"/>
      <c r="E23" s="5"/>
      <c r="F23" s="5"/>
      <c r="G23" s="5"/>
      <c r="H23" s="5"/>
      <c r="I23" s="5"/>
      <c r="J23" s="5"/>
      <c r="K23" s="5"/>
      <c r="L23" s="5"/>
      <c r="M23" s="5"/>
      <c r="N23" s="5"/>
    </row>
    <row r="24" spans="1:14" x14ac:dyDescent="0.3">
      <c r="A24" s="5"/>
      <c r="B24" s="5"/>
      <c r="C24" s="5"/>
      <c r="D24" s="5"/>
      <c r="E24" s="5"/>
      <c r="F24" s="5"/>
      <c r="G24" s="5"/>
      <c r="H24" s="5"/>
      <c r="I24" s="5"/>
      <c r="J24" s="5"/>
      <c r="K24" s="5"/>
      <c r="L24" s="5"/>
      <c r="M24" s="5"/>
      <c r="N24" s="5"/>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B60789-17DE-49F7-9BE6-94EBF70D2969}">
  <dimension ref="A1:N24"/>
  <sheetViews>
    <sheetView zoomScale="54" workbookViewId="0"/>
  </sheetViews>
  <sheetFormatPr defaultRowHeight="14.4" x14ac:dyDescent="0.3"/>
  <sheetData>
    <row r="1" spans="1:14" x14ac:dyDescent="0.3">
      <c r="A1" s="5"/>
      <c r="B1" s="5"/>
      <c r="C1" s="5"/>
      <c r="D1" s="5"/>
      <c r="E1" s="5"/>
      <c r="F1" s="5"/>
      <c r="G1" s="5"/>
      <c r="H1" s="5"/>
      <c r="I1" s="5"/>
      <c r="J1" s="5"/>
      <c r="K1" s="5"/>
      <c r="L1" s="5"/>
      <c r="M1" s="5"/>
      <c r="N1" s="5"/>
    </row>
    <row r="2" spans="1:14" x14ac:dyDescent="0.3">
      <c r="A2" s="5"/>
      <c r="B2" s="5"/>
      <c r="C2" s="5"/>
      <c r="D2" s="5"/>
      <c r="E2" s="5"/>
      <c r="F2" s="5"/>
      <c r="G2" s="5"/>
      <c r="H2" s="5"/>
      <c r="I2" s="5"/>
      <c r="J2" s="5"/>
      <c r="K2" s="5"/>
      <c r="L2" s="5"/>
      <c r="M2" s="5"/>
      <c r="N2" s="5"/>
    </row>
    <row r="3" spans="1:14" x14ac:dyDescent="0.3">
      <c r="A3" s="5"/>
      <c r="B3" s="5"/>
      <c r="C3" s="5"/>
      <c r="D3" s="5"/>
      <c r="E3" s="5"/>
      <c r="F3" s="5"/>
      <c r="G3" s="5"/>
      <c r="H3" s="5"/>
      <c r="I3" s="5"/>
      <c r="J3" s="5"/>
      <c r="K3" s="5"/>
      <c r="L3" s="5"/>
      <c r="M3" s="5"/>
      <c r="N3" s="5"/>
    </row>
    <row r="4" spans="1:14" x14ac:dyDescent="0.3">
      <c r="A4" s="5"/>
      <c r="B4" s="5"/>
      <c r="C4" s="5"/>
      <c r="D4" s="5"/>
      <c r="E4" s="5"/>
      <c r="F4" s="5"/>
      <c r="G4" s="5"/>
      <c r="H4" s="5"/>
      <c r="I4" s="5"/>
      <c r="J4" s="5"/>
      <c r="K4" s="5"/>
      <c r="L4" s="5"/>
      <c r="M4" s="5"/>
      <c r="N4" s="5"/>
    </row>
    <row r="5" spans="1:14" x14ac:dyDescent="0.3">
      <c r="A5" s="5"/>
      <c r="B5" s="5"/>
      <c r="C5" s="5"/>
      <c r="D5" s="5"/>
      <c r="E5" s="5"/>
      <c r="F5" s="5"/>
      <c r="G5" s="5"/>
      <c r="H5" s="5"/>
      <c r="I5" s="5"/>
      <c r="J5" s="5"/>
      <c r="K5" s="5"/>
      <c r="L5" s="5"/>
      <c r="M5" s="5"/>
      <c r="N5" s="5"/>
    </row>
    <row r="6" spans="1:14" x14ac:dyDescent="0.3">
      <c r="A6" s="5"/>
      <c r="B6" s="5"/>
      <c r="C6" s="5"/>
      <c r="D6" s="5"/>
      <c r="E6" s="5"/>
      <c r="F6" s="5"/>
      <c r="G6" s="5"/>
      <c r="H6" s="5"/>
      <c r="I6" s="5"/>
      <c r="J6" s="5"/>
      <c r="K6" s="5"/>
      <c r="L6" s="5"/>
      <c r="M6" s="5"/>
      <c r="N6" s="5"/>
    </row>
    <row r="7" spans="1:14" x14ac:dyDescent="0.3">
      <c r="A7" s="5"/>
      <c r="B7" s="5"/>
      <c r="C7" s="5"/>
      <c r="D7" s="5"/>
      <c r="E7" s="5"/>
      <c r="F7" s="5"/>
      <c r="G7" s="5"/>
      <c r="H7" s="5"/>
      <c r="I7" s="5"/>
      <c r="J7" s="5"/>
      <c r="K7" s="5"/>
      <c r="L7" s="5"/>
      <c r="M7" s="5"/>
      <c r="N7" s="5"/>
    </row>
    <row r="8" spans="1:14" x14ac:dyDescent="0.3">
      <c r="A8" s="5"/>
      <c r="B8" s="5"/>
      <c r="C8" s="5"/>
      <c r="D8" s="5"/>
      <c r="E8" s="5"/>
      <c r="F8" s="5"/>
      <c r="G8" s="5"/>
      <c r="H8" s="5"/>
      <c r="I8" s="5"/>
      <c r="J8" s="5"/>
      <c r="K8" s="5"/>
      <c r="L8" s="5"/>
      <c r="M8" s="5"/>
      <c r="N8" s="5"/>
    </row>
    <row r="9" spans="1:14" x14ac:dyDescent="0.3">
      <c r="A9" s="5"/>
      <c r="B9" s="5"/>
      <c r="C9" s="5"/>
      <c r="D9" s="5"/>
      <c r="E9" s="5"/>
      <c r="F9" s="5"/>
      <c r="G9" s="5"/>
      <c r="H9" s="5"/>
      <c r="I9" s="5"/>
      <c r="J9" s="5"/>
      <c r="K9" s="5"/>
      <c r="L9" s="5"/>
      <c r="M9" s="5"/>
      <c r="N9" s="5"/>
    </row>
    <row r="10" spans="1:14" x14ac:dyDescent="0.3">
      <c r="A10" s="5"/>
      <c r="B10" s="5"/>
      <c r="C10" s="5"/>
      <c r="D10" s="5"/>
      <c r="E10" s="5"/>
      <c r="F10" s="5"/>
      <c r="G10" s="5"/>
      <c r="H10" s="5"/>
      <c r="I10" s="5"/>
      <c r="J10" s="5"/>
      <c r="K10" s="5"/>
      <c r="L10" s="5"/>
      <c r="M10" s="5"/>
      <c r="N10" s="5"/>
    </row>
    <row r="11" spans="1:14" x14ac:dyDescent="0.3">
      <c r="A11" s="5"/>
      <c r="B11" s="5"/>
      <c r="C11" s="5"/>
      <c r="D11" s="5"/>
      <c r="E11" s="5"/>
      <c r="F11" s="5"/>
      <c r="G11" s="5"/>
      <c r="H11" s="5"/>
      <c r="I11" s="5"/>
      <c r="J11" s="5"/>
      <c r="K11" s="5"/>
      <c r="L11" s="5"/>
      <c r="M11" s="5"/>
      <c r="N11" s="5"/>
    </row>
    <row r="12" spans="1:14" x14ac:dyDescent="0.3">
      <c r="A12" s="5"/>
      <c r="B12" s="5"/>
      <c r="C12" s="5"/>
      <c r="D12" s="5"/>
      <c r="E12" s="5"/>
      <c r="F12" s="5"/>
      <c r="G12" s="5"/>
      <c r="H12" s="5"/>
      <c r="I12" s="5"/>
      <c r="J12" s="5"/>
      <c r="K12" s="5"/>
      <c r="L12" s="5"/>
      <c r="M12" s="5"/>
      <c r="N12" s="5"/>
    </row>
    <row r="13" spans="1:14" x14ac:dyDescent="0.3">
      <c r="A13" s="5"/>
      <c r="B13" s="5"/>
      <c r="C13" s="5"/>
      <c r="D13" s="5"/>
      <c r="E13" s="5"/>
      <c r="F13" s="5"/>
      <c r="G13" s="5"/>
      <c r="H13" s="5"/>
      <c r="I13" s="5"/>
      <c r="J13" s="5"/>
      <c r="K13" s="5"/>
      <c r="L13" s="5"/>
      <c r="M13" s="5"/>
      <c r="N13" s="5"/>
    </row>
    <row r="14" spans="1:14" x14ac:dyDescent="0.3">
      <c r="A14" s="5"/>
      <c r="B14" s="5"/>
      <c r="C14" s="5"/>
      <c r="D14" s="5"/>
      <c r="E14" s="5"/>
      <c r="F14" s="5"/>
      <c r="G14" s="5"/>
      <c r="H14" s="5"/>
      <c r="I14" s="5"/>
      <c r="J14" s="5"/>
      <c r="K14" s="5"/>
      <c r="L14" s="5"/>
      <c r="M14" s="5"/>
      <c r="N14" s="5"/>
    </row>
    <row r="15" spans="1:14" x14ac:dyDescent="0.3">
      <c r="A15" s="5"/>
      <c r="B15" s="5"/>
      <c r="C15" s="5"/>
      <c r="D15" s="5"/>
      <c r="E15" s="5"/>
      <c r="F15" s="5"/>
      <c r="G15" s="5"/>
      <c r="H15" s="5"/>
      <c r="I15" s="5"/>
      <c r="J15" s="5"/>
      <c r="K15" s="5"/>
      <c r="L15" s="5"/>
      <c r="M15" s="5"/>
      <c r="N15" s="5"/>
    </row>
    <row r="16" spans="1:14" x14ac:dyDescent="0.3">
      <c r="A16" s="5"/>
      <c r="B16" s="5"/>
      <c r="C16" s="5"/>
      <c r="D16" s="5"/>
      <c r="E16" s="5"/>
      <c r="F16" s="5"/>
      <c r="G16" s="5"/>
      <c r="H16" s="5"/>
      <c r="I16" s="5"/>
      <c r="J16" s="5"/>
      <c r="K16" s="5"/>
      <c r="L16" s="5"/>
      <c r="M16" s="5"/>
      <c r="N16" s="5"/>
    </row>
    <row r="17" spans="1:14" x14ac:dyDescent="0.3">
      <c r="A17" s="5"/>
      <c r="B17" s="5"/>
      <c r="C17" s="5"/>
      <c r="D17" s="5"/>
      <c r="E17" s="5"/>
      <c r="F17" s="5"/>
      <c r="G17" s="5"/>
      <c r="H17" s="5"/>
      <c r="I17" s="5"/>
      <c r="J17" s="5"/>
      <c r="K17" s="5"/>
      <c r="L17" s="5"/>
      <c r="M17" s="5"/>
      <c r="N17" s="5"/>
    </row>
    <row r="18" spans="1:14" x14ac:dyDescent="0.3">
      <c r="A18" s="5"/>
      <c r="B18" s="5"/>
      <c r="C18" s="5"/>
      <c r="D18" s="5"/>
      <c r="E18" s="5"/>
      <c r="F18" s="5"/>
      <c r="G18" s="5"/>
      <c r="H18" s="5"/>
      <c r="I18" s="5"/>
      <c r="J18" s="5"/>
      <c r="K18" s="5"/>
      <c r="L18" s="5"/>
      <c r="M18" s="5"/>
      <c r="N18" s="5"/>
    </row>
    <row r="19" spans="1:14" x14ac:dyDescent="0.3">
      <c r="A19" s="5"/>
      <c r="B19" s="5"/>
      <c r="C19" s="5"/>
      <c r="D19" s="5"/>
      <c r="E19" s="5"/>
      <c r="F19" s="5"/>
      <c r="G19" s="5"/>
      <c r="H19" s="5"/>
      <c r="I19" s="5"/>
      <c r="J19" s="5"/>
      <c r="K19" s="5"/>
      <c r="L19" s="5"/>
      <c r="M19" s="5"/>
      <c r="N19" s="5"/>
    </row>
    <row r="20" spans="1:14" x14ac:dyDescent="0.3">
      <c r="A20" s="5"/>
      <c r="B20" s="5"/>
      <c r="C20" s="5"/>
      <c r="D20" s="5"/>
      <c r="E20" s="5"/>
      <c r="F20" s="5"/>
      <c r="G20" s="5"/>
      <c r="H20" s="5"/>
      <c r="I20" s="5"/>
      <c r="J20" s="5"/>
      <c r="K20" s="5"/>
      <c r="L20" s="5"/>
      <c r="M20" s="5"/>
      <c r="N20" s="5"/>
    </row>
    <row r="21" spans="1:14" x14ac:dyDescent="0.3">
      <c r="A21" s="5"/>
      <c r="B21" s="5"/>
      <c r="C21" s="5"/>
      <c r="D21" s="5"/>
      <c r="E21" s="5"/>
      <c r="F21" s="5"/>
      <c r="G21" s="5"/>
      <c r="H21" s="5"/>
      <c r="I21" s="5"/>
      <c r="J21" s="5"/>
      <c r="K21" s="5"/>
      <c r="L21" s="5"/>
      <c r="M21" s="5"/>
      <c r="N21" s="5"/>
    </row>
    <row r="22" spans="1:14" x14ac:dyDescent="0.3">
      <c r="A22" s="5"/>
      <c r="B22" s="5"/>
      <c r="C22" s="5"/>
      <c r="D22" s="5"/>
      <c r="E22" s="5"/>
      <c r="F22" s="5"/>
      <c r="G22" s="5"/>
      <c r="H22" s="5"/>
      <c r="I22" s="5"/>
      <c r="J22" s="5"/>
      <c r="K22" s="5"/>
      <c r="L22" s="5"/>
      <c r="M22" s="5"/>
      <c r="N22" s="5"/>
    </row>
    <row r="23" spans="1:14" x14ac:dyDescent="0.3">
      <c r="A23" s="5"/>
      <c r="B23" s="5"/>
      <c r="C23" s="5"/>
      <c r="D23" s="5"/>
      <c r="E23" s="5"/>
      <c r="F23" s="5"/>
      <c r="G23" s="5"/>
      <c r="H23" s="5"/>
      <c r="I23" s="5"/>
      <c r="J23" s="5"/>
      <c r="K23" s="5"/>
      <c r="L23" s="5"/>
      <c r="M23" s="5"/>
      <c r="N23" s="5"/>
    </row>
    <row r="24" spans="1:14" x14ac:dyDescent="0.3">
      <c r="A24" s="5"/>
      <c r="B24" s="5"/>
      <c r="C24" s="5"/>
      <c r="D24" s="5"/>
      <c r="E24" s="5"/>
      <c r="F24" s="5"/>
      <c r="G24" s="5"/>
      <c r="H24" s="5"/>
      <c r="I24" s="5"/>
      <c r="J24" s="5"/>
      <c r="K24" s="5"/>
      <c r="L24" s="5"/>
      <c r="M24" s="5"/>
      <c r="N24" s="5"/>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9F79C1FD-D957-4165-A7C4-2F80876EA06E}">
  <ds:schemaRefs>
    <ds:schemaRef ds:uri="http://gemini/pivotcustomization/ManualCalcMode"/>
  </ds:schemaRefs>
</ds:datastoreItem>
</file>

<file path=customXml/itemProps2.xml><?xml version="1.0" encoding="utf-8"?>
<ds:datastoreItem xmlns:ds="http://schemas.openxmlformats.org/officeDocument/2006/customXml" ds:itemID="{5F2F9D91-C0C2-4018-872E-3B00F6B8A802}">
  <ds:schemaRefs>
    <ds:schemaRef ds:uri="http://gemini/pivotcustomization/MeasureGridState"/>
  </ds:schemaRefs>
</ds:datastoreItem>
</file>

<file path=customXml/itemProps3.xml><?xml version="1.0" encoding="utf-8"?>
<ds:datastoreItem xmlns:ds="http://schemas.openxmlformats.org/officeDocument/2006/customXml" ds:itemID="{ADFEA9B4-921D-4C65-8DAE-D89298F31B26}">
  <ds:schemaRefs>
    <ds:schemaRef ds:uri="http://gemini/pivotcustomization/IsSandboxEmbedded"/>
  </ds:schemaRefs>
</ds:datastoreItem>
</file>

<file path=customXml/itemProps4.xml><?xml version="1.0" encoding="utf-8"?>
<ds:datastoreItem xmlns:ds="http://schemas.openxmlformats.org/officeDocument/2006/customXml" ds:itemID="{D679A6F6-DFA0-4333-94FD-6F52FC5A995A}">
  <ds:schemaRefs>
    <ds:schemaRef ds:uri="http://gemini/pivotcustomization/ErrorCache"/>
  </ds:schemaRefs>
</ds:datastoreItem>
</file>

<file path=customXml/itemProps5.xml><?xml version="1.0" encoding="utf-8"?>
<ds:datastoreItem xmlns:ds="http://schemas.openxmlformats.org/officeDocument/2006/customXml" ds:itemID="{1B50436D-D23D-49B8-8F47-4FAC11C4858A}">
  <ds:schemaRefs>
    <ds:schemaRef ds:uri="http://gemini/pivotcustomization/TableXML_Calender_Type_10733ff0-8c08-49c9-8fbf-abcff6fd2bc6"/>
  </ds:schemaRefs>
</ds:datastoreItem>
</file>

<file path=customXml/itemProps6.xml><?xml version="1.0" encoding="utf-8"?>
<ds:datastoreItem xmlns:ds="http://schemas.openxmlformats.org/officeDocument/2006/customXml" ds:itemID="{4F751311-E967-44C6-80B9-6904BABE28B2}">
  <ds:schemaRefs>
    <ds:schemaRef ds:uri="http://gemini/pivotcustomization/PowerPivotVersion"/>
  </ds:schemaRefs>
</ds:datastoreItem>
</file>

<file path=customXml/itemProps7.xml><?xml version="1.0" encoding="utf-8"?>
<ds:datastoreItem xmlns:ds="http://schemas.openxmlformats.org/officeDocument/2006/customXml" ds:itemID="{E6A06C76-B0D2-4E75-8487-DABDD9D7926D}">
  <ds:schemaRefs>
    <ds:schemaRef ds:uri="http://gemini/pivotcustomization/TableXML_Hospital Emergency Room Data_ad7a43e5-e6bc-4c2a-b485-9e878dfde8fa"/>
  </ds:schemaRefs>
</ds:datastoreItem>
</file>

<file path=customXml/itemProps8.xml><?xml version="1.0" encoding="utf-8"?>
<ds:datastoreItem xmlns:ds="http://schemas.openxmlformats.org/officeDocument/2006/customXml" ds:itemID="{E9C864AB-56C3-413E-8C4B-2089A7874357}">
  <ds:schemaRefs>
    <ds:schemaRef ds:uri="http://gemini/pivotcustomization/LinkedTableUpdateMode"/>
  </ds:schemaRefs>
</ds:datastoreItem>
</file>

<file path=customXml/itemProps9.xml><?xml version="1.0" encoding="utf-8"?>
<ds:datastoreItem xmlns:ds="http://schemas.openxmlformats.org/officeDocument/2006/customXml" ds:itemID="{1BE71658-78FA-4014-93A7-C7A59D9A264F}">
  <ds:schemaRefs>
    <ds:schemaRef ds:uri="http://gemini/pivotcustomization/SandboxNonEmpty"/>
  </ds:schemaRefs>
</ds:datastoreItem>
</file>

<file path=customXml/itemProps10.xml><?xml version="1.0" encoding="utf-8"?>
<ds:datastoreItem xmlns:ds="http://schemas.openxmlformats.org/officeDocument/2006/customXml" ds:itemID="{DA9D8E4D-6C19-4146-8B31-2A3A3652BC97}">
  <ds:schemaRefs>
    <ds:schemaRef ds:uri="http://gemini/pivotcustomization/TableWidget"/>
  </ds:schemaRefs>
</ds:datastoreItem>
</file>

<file path=customXml/itemProps11.xml><?xml version="1.0" encoding="utf-8"?>
<ds:datastoreItem xmlns:ds="http://schemas.openxmlformats.org/officeDocument/2006/customXml" ds:itemID="{97B4E08B-0B57-495D-97A1-53F14BAF5FA6}">
  <ds:schemaRefs>
    <ds:schemaRef ds:uri="http://gemini/pivotcustomization/ShowHidden"/>
  </ds:schemaRefs>
</ds:datastoreItem>
</file>

<file path=customXml/itemProps12.xml><?xml version="1.0" encoding="utf-8"?>
<ds:datastoreItem xmlns:ds="http://schemas.openxmlformats.org/officeDocument/2006/customXml" ds:itemID="{34F9DAB2-91CC-426D-B207-F296F092BE25}">
  <ds:schemaRefs>
    <ds:schemaRef ds:uri="http://gemini/pivotcustomization/TableOrder"/>
  </ds:schemaRefs>
</ds:datastoreItem>
</file>

<file path=customXml/itemProps13.xml><?xml version="1.0" encoding="utf-8"?>
<ds:datastoreItem xmlns:ds="http://schemas.openxmlformats.org/officeDocument/2006/customXml" ds:itemID="{D8EB00B2-D305-482D-9603-B3F449E52489}">
  <ds:schemaRefs>
    <ds:schemaRef ds:uri="http://gemini/pivotcustomization/Diagrams"/>
  </ds:schemaRefs>
</ds:datastoreItem>
</file>

<file path=customXml/itemProps14.xml><?xml version="1.0" encoding="utf-8"?>
<ds:datastoreItem xmlns:ds="http://schemas.openxmlformats.org/officeDocument/2006/customXml" ds:itemID="{034931BD-628F-49B3-B630-C7CCC9E7738E}">
  <ds:schemaRefs>
    <ds:schemaRef ds:uri="http://gemini/pivotcustomization/FormulaBarState"/>
  </ds:schemaRefs>
</ds:datastoreItem>
</file>

<file path=customXml/itemProps15.xml><?xml version="1.0" encoding="utf-8"?>
<ds:datastoreItem xmlns:ds="http://schemas.openxmlformats.org/officeDocument/2006/customXml" ds:itemID="{584E84EC-5396-4B38-B7D9-45A46E94E893}">
  <ds:schemaRefs>
    <ds:schemaRef ds:uri="http://schemas.microsoft.com/DataMashup"/>
  </ds:schemaRefs>
</ds:datastoreItem>
</file>

<file path=customXml/itemProps16.xml><?xml version="1.0" encoding="utf-8"?>
<ds:datastoreItem xmlns:ds="http://schemas.openxmlformats.org/officeDocument/2006/customXml" ds:itemID="{02E54184-1811-4308-9640-719F31D8A8A6}">
  <ds:schemaRefs>
    <ds:schemaRef ds:uri="http://gemini/pivotcustomization/ClientWindowXML"/>
  </ds:schemaRefs>
</ds:datastoreItem>
</file>

<file path=customXml/itemProps17.xml><?xml version="1.0" encoding="utf-8"?>
<ds:datastoreItem xmlns:ds="http://schemas.openxmlformats.org/officeDocument/2006/customXml" ds:itemID="{8798442C-0B38-4522-870D-B7EC94F60FB5}">
  <ds:schemaRefs>
    <ds:schemaRef ds:uri="http://gemini/pivotcustomization/RelationshipAutoDetectionEnabled"/>
  </ds:schemaRefs>
</ds:datastoreItem>
</file>

<file path=customXml/itemProps18.xml><?xml version="1.0" encoding="utf-8"?>
<ds:datastoreItem xmlns:ds="http://schemas.openxmlformats.org/officeDocument/2006/customXml" ds:itemID="{100CCDE4-C4C7-4DFD-B295-1F457E87224C}">
  <ds:schemaRefs>
    <ds:schemaRef ds:uri="http://gemini/pivotcustomization/ShowImplicitMeasur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Pivot Report</vt:lpstr>
      <vt:lpstr>Dashboard</vt:lpstr>
      <vt:lpstr>Daily ER No. of Patients</vt:lpstr>
      <vt:lpstr>Average wait time daily trend</vt:lpstr>
      <vt:lpstr>Satisfaction score daily trend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Mohan Manjappa Naik</dc:creator>
  <cp:keywords/>
  <dc:description/>
  <cp:lastModifiedBy>Mohan Manjappa Naik</cp:lastModifiedBy>
  <cp:revision/>
  <dcterms:created xsi:type="dcterms:W3CDTF">2025-06-15T11:38:57Z</dcterms:created>
  <dcterms:modified xsi:type="dcterms:W3CDTF">2026-07-07T15:25:54Z</dcterms:modified>
  <cp:category/>
  <cp:contentStatus/>
</cp:coreProperties>
</file>